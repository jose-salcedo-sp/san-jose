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330"/>
  <workbookPr/>
  <mc:AlternateContent xmlns:mc="http://schemas.openxmlformats.org/markup-compatibility/2006">
    <mc:Choice Requires="x15">
      <x15ac:absPath xmlns:x15ac="http://schemas.microsoft.com/office/spreadsheetml/2010/11/ac" url="I:\GRUPO LICA\ABASTECEDORA SAN JOSE\COMIXA\pedidos\2022\07 JULIO\"/>
    </mc:Choice>
  </mc:AlternateContent>
  <xr:revisionPtr revIDLastSave="0" documentId="13_ncr:1_{278C3F15-ADB7-4225-8876-0A7E0CD0817B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LICA" sheetId="1" r:id="rId1"/>
  </sheets>
  <externalReferences>
    <externalReference r:id="rId2"/>
  </externalReferences>
  <definedNames>
    <definedName name="_xlnm._FilterDatabase" localSheetId="0" hidden="1">LICA!$A$13:$M$141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K141" i="1" l="1"/>
  <c r="M141" i="1" s="1"/>
  <c r="K140" i="1"/>
  <c r="M140" i="1" s="1"/>
  <c r="K139" i="1"/>
  <c r="M139" i="1" s="1"/>
  <c r="M138" i="1"/>
  <c r="K138" i="1"/>
  <c r="K137" i="1"/>
  <c r="M137" i="1" s="1"/>
  <c r="K136" i="1"/>
  <c r="M136" i="1" s="1"/>
  <c r="K135" i="1"/>
  <c r="M135" i="1" s="1"/>
  <c r="K134" i="1"/>
  <c r="M134" i="1" s="1"/>
  <c r="K133" i="1"/>
  <c r="M133" i="1" s="1"/>
  <c r="K132" i="1"/>
  <c r="M132" i="1" s="1"/>
  <c r="K131" i="1"/>
  <c r="M131" i="1" s="1"/>
  <c r="K130" i="1"/>
  <c r="M130" i="1" s="1"/>
  <c r="K129" i="1"/>
  <c r="M129" i="1" s="1"/>
  <c r="K128" i="1"/>
  <c r="M128" i="1" s="1"/>
  <c r="K127" i="1"/>
  <c r="M127" i="1" s="1"/>
  <c r="K126" i="1"/>
  <c r="M126" i="1" s="1"/>
  <c r="K125" i="1"/>
  <c r="M125" i="1" s="1"/>
  <c r="K124" i="1"/>
  <c r="M124" i="1" s="1"/>
  <c r="K123" i="1"/>
  <c r="M123" i="1" s="1"/>
  <c r="K122" i="1"/>
  <c r="M122" i="1" s="1"/>
  <c r="K121" i="1"/>
  <c r="M121" i="1" s="1"/>
  <c r="K120" i="1"/>
  <c r="M120" i="1" s="1"/>
  <c r="K119" i="1"/>
  <c r="M119" i="1" s="1"/>
  <c r="K118" i="1"/>
  <c r="M118" i="1" s="1"/>
  <c r="K117" i="1"/>
  <c r="M117" i="1" s="1"/>
  <c r="K116" i="1"/>
  <c r="M116" i="1" s="1"/>
  <c r="K115" i="1"/>
  <c r="M115" i="1" s="1"/>
  <c r="K114" i="1"/>
  <c r="M114" i="1" s="1"/>
  <c r="K113" i="1"/>
  <c r="M113" i="1" s="1"/>
  <c r="K112" i="1"/>
  <c r="M112" i="1" s="1"/>
  <c r="K111" i="1"/>
  <c r="M111" i="1" s="1"/>
  <c r="K110" i="1"/>
  <c r="M110" i="1" s="1"/>
  <c r="K109" i="1"/>
  <c r="M109" i="1" s="1"/>
  <c r="K108" i="1"/>
  <c r="M108" i="1" s="1"/>
  <c r="K107" i="1"/>
  <c r="M107" i="1" s="1"/>
  <c r="K106" i="1"/>
  <c r="M106" i="1" s="1"/>
  <c r="K105" i="1"/>
  <c r="M105" i="1" s="1"/>
  <c r="K104" i="1"/>
  <c r="M104" i="1" s="1"/>
  <c r="K103" i="1"/>
  <c r="M103" i="1" s="1"/>
  <c r="K102" i="1"/>
  <c r="M102" i="1" s="1"/>
  <c r="K101" i="1"/>
  <c r="M101" i="1" s="1"/>
  <c r="K100" i="1"/>
  <c r="M100" i="1" s="1"/>
  <c r="K99" i="1"/>
  <c r="M99" i="1" s="1"/>
  <c r="K98" i="1"/>
  <c r="M98" i="1" s="1"/>
  <c r="K97" i="1"/>
  <c r="M97" i="1" s="1"/>
  <c r="K96" i="1"/>
  <c r="M96" i="1" s="1"/>
  <c r="K95" i="1"/>
  <c r="M95" i="1" s="1"/>
  <c r="K94" i="1"/>
  <c r="M94" i="1" s="1"/>
  <c r="K93" i="1"/>
  <c r="M93" i="1" s="1"/>
  <c r="K92" i="1"/>
  <c r="M92" i="1" s="1"/>
  <c r="K91" i="1"/>
  <c r="M91" i="1" s="1"/>
  <c r="K90" i="1"/>
  <c r="M90" i="1" s="1"/>
  <c r="K89" i="1"/>
  <c r="M89" i="1" s="1"/>
  <c r="K88" i="1"/>
  <c r="M88" i="1" s="1"/>
  <c r="K87" i="1"/>
  <c r="M87" i="1" s="1"/>
  <c r="K86" i="1"/>
  <c r="M86" i="1" s="1"/>
  <c r="K85" i="1"/>
  <c r="M85" i="1" s="1"/>
  <c r="K84" i="1"/>
  <c r="M84" i="1" s="1"/>
  <c r="K83" i="1"/>
  <c r="M83" i="1" s="1"/>
  <c r="K82" i="1"/>
  <c r="M82" i="1" s="1"/>
  <c r="K81" i="1"/>
  <c r="M81" i="1" s="1"/>
  <c r="K80" i="1"/>
  <c r="M80" i="1" s="1"/>
  <c r="K79" i="1"/>
  <c r="M79" i="1" s="1"/>
  <c r="K78" i="1"/>
  <c r="M78" i="1" s="1"/>
  <c r="K77" i="1"/>
  <c r="M77" i="1" s="1"/>
  <c r="K76" i="1"/>
  <c r="M76" i="1" s="1"/>
  <c r="K75" i="1"/>
  <c r="M75" i="1" s="1"/>
  <c r="K74" i="1"/>
  <c r="M74" i="1" s="1"/>
  <c r="K73" i="1"/>
  <c r="M73" i="1" s="1"/>
  <c r="K72" i="1"/>
  <c r="M72" i="1" s="1"/>
  <c r="K71" i="1"/>
  <c r="M71" i="1" s="1"/>
  <c r="K70" i="1"/>
  <c r="M70" i="1" s="1"/>
  <c r="K69" i="1"/>
  <c r="M69" i="1" s="1"/>
  <c r="K68" i="1"/>
  <c r="M68" i="1" s="1"/>
  <c r="K67" i="1"/>
  <c r="M67" i="1" s="1"/>
  <c r="K66" i="1"/>
  <c r="M66" i="1" s="1"/>
  <c r="K65" i="1"/>
  <c r="M65" i="1" s="1"/>
  <c r="K64" i="1"/>
  <c r="M64" i="1" s="1"/>
  <c r="K63" i="1"/>
  <c r="M63" i="1" s="1"/>
  <c r="K62" i="1"/>
  <c r="M62" i="1" s="1"/>
  <c r="K61" i="1"/>
  <c r="M61" i="1" s="1"/>
  <c r="K60" i="1"/>
  <c r="M60" i="1" s="1"/>
  <c r="K59" i="1"/>
  <c r="M59" i="1" s="1"/>
  <c r="K58" i="1"/>
  <c r="M58" i="1" s="1"/>
  <c r="K57" i="1"/>
  <c r="M57" i="1" s="1"/>
  <c r="K56" i="1"/>
  <c r="M56" i="1" s="1"/>
  <c r="K55" i="1"/>
  <c r="M55" i="1" s="1"/>
  <c r="K54" i="1"/>
  <c r="M54" i="1" s="1"/>
  <c r="K53" i="1"/>
  <c r="M53" i="1" s="1"/>
  <c r="K52" i="1"/>
  <c r="M52" i="1" s="1"/>
  <c r="K51" i="1"/>
  <c r="M51" i="1" s="1"/>
  <c r="K50" i="1"/>
  <c r="M50" i="1" s="1"/>
  <c r="K49" i="1"/>
  <c r="M49" i="1" s="1"/>
  <c r="K48" i="1"/>
  <c r="M48" i="1" s="1"/>
  <c r="K47" i="1"/>
  <c r="M47" i="1" s="1"/>
  <c r="K46" i="1"/>
  <c r="M46" i="1" s="1"/>
  <c r="K45" i="1"/>
  <c r="M45" i="1" s="1"/>
  <c r="K44" i="1"/>
  <c r="M44" i="1" s="1"/>
  <c r="K43" i="1"/>
  <c r="M43" i="1" s="1"/>
  <c r="K42" i="1"/>
  <c r="M42" i="1" s="1"/>
  <c r="K41" i="1"/>
  <c r="M41" i="1" s="1"/>
  <c r="K40" i="1"/>
  <c r="M40" i="1" s="1"/>
  <c r="K39" i="1"/>
  <c r="M39" i="1" s="1"/>
  <c r="K38" i="1"/>
  <c r="M38" i="1" s="1"/>
  <c r="K37" i="1"/>
  <c r="M37" i="1" s="1"/>
  <c r="K36" i="1"/>
  <c r="M36" i="1" s="1"/>
  <c r="K35" i="1"/>
  <c r="M35" i="1" s="1"/>
  <c r="K34" i="1"/>
  <c r="M34" i="1" s="1"/>
  <c r="K33" i="1"/>
  <c r="M33" i="1" s="1"/>
  <c r="K32" i="1"/>
  <c r="M32" i="1" s="1"/>
  <c r="K31" i="1"/>
  <c r="M31" i="1" s="1"/>
  <c r="K30" i="1"/>
  <c r="M30" i="1" s="1"/>
  <c r="K29" i="1"/>
  <c r="M29" i="1" s="1"/>
  <c r="K28" i="1"/>
  <c r="M28" i="1" s="1"/>
  <c r="K27" i="1"/>
  <c r="M27" i="1" s="1"/>
  <c r="K26" i="1"/>
  <c r="M26" i="1" s="1"/>
  <c r="K25" i="1"/>
  <c r="M25" i="1" s="1"/>
  <c r="K24" i="1"/>
  <c r="M24" i="1" s="1"/>
  <c r="K23" i="1"/>
  <c r="M23" i="1" s="1"/>
  <c r="K22" i="1"/>
  <c r="M22" i="1" s="1"/>
  <c r="K21" i="1"/>
  <c r="M21" i="1" s="1"/>
  <c r="K20" i="1"/>
  <c r="M20" i="1" s="1"/>
  <c r="K19" i="1"/>
  <c r="M19" i="1" s="1"/>
  <c r="K18" i="1"/>
  <c r="M18" i="1" s="1"/>
  <c r="K17" i="1"/>
  <c r="M17" i="1" s="1"/>
  <c r="K16" i="1"/>
  <c r="M16" i="1" s="1"/>
  <c r="K15" i="1"/>
  <c r="M15" i="1" s="1"/>
  <c r="A15" i="1"/>
  <c r="A16" i="1" s="1"/>
  <c r="A17" i="1" s="1"/>
  <c r="A18" i="1" s="1"/>
  <c r="A19" i="1" s="1"/>
  <c r="A20" i="1" s="1"/>
  <c r="A21" i="1" s="1"/>
  <c r="A22" i="1" s="1"/>
  <c r="A23" i="1" s="1"/>
  <c r="A24" i="1" s="1"/>
  <c r="A25" i="1" s="1"/>
  <c r="A26" i="1" s="1"/>
  <c r="A27" i="1" s="1"/>
  <c r="A28" i="1" s="1"/>
  <c r="A29" i="1" s="1"/>
  <c r="A30" i="1" s="1"/>
  <c r="A31" i="1" s="1"/>
  <c r="A32" i="1" s="1"/>
  <c r="A33" i="1" s="1"/>
  <c r="A34" i="1" s="1"/>
  <c r="A35" i="1" s="1"/>
  <c r="A36" i="1" s="1"/>
  <c r="A37" i="1" s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2" i="1" s="1"/>
  <c r="A63" i="1" s="1"/>
  <c r="A64" i="1" s="1"/>
  <c r="A65" i="1" s="1"/>
  <c r="A66" i="1" s="1"/>
  <c r="A67" i="1" s="1"/>
  <c r="A68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A94" i="1" s="1"/>
  <c r="A95" i="1" s="1"/>
  <c r="A96" i="1" s="1"/>
  <c r="A97" i="1" s="1"/>
  <c r="A98" i="1" s="1"/>
  <c r="A99" i="1" s="1"/>
  <c r="A100" i="1" s="1"/>
  <c r="A101" i="1" s="1"/>
  <c r="A102" i="1" s="1"/>
  <c r="A103" i="1" s="1"/>
  <c r="A104" i="1" s="1"/>
  <c r="A105" i="1" s="1"/>
  <c r="A106" i="1" s="1"/>
  <c r="A107" i="1" s="1"/>
  <c r="A108" i="1" s="1"/>
  <c r="A109" i="1" s="1"/>
  <c r="A110" i="1" s="1"/>
  <c r="A111" i="1" s="1"/>
  <c r="A112" i="1" s="1"/>
  <c r="A113" i="1" s="1"/>
  <c r="A114" i="1" s="1"/>
  <c r="A115" i="1" s="1"/>
  <c r="A116" i="1" s="1"/>
  <c r="A117" i="1" s="1"/>
  <c r="A118" i="1" s="1"/>
  <c r="A119" i="1" s="1"/>
  <c r="A120" i="1" s="1"/>
  <c r="A121" i="1" s="1"/>
  <c r="A122" i="1" s="1"/>
  <c r="A123" i="1" s="1"/>
  <c r="A124" i="1" s="1"/>
  <c r="A125" i="1" s="1"/>
  <c r="A126" i="1" s="1"/>
  <c r="A127" i="1" s="1"/>
  <c r="A128" i="1" s="1"/>
  <c r="A129" i="1" s="1"/>
  <c r="A130" i="1" s="1"/>
  <c r="A131" i="1" s="1"/>
  <c r="A132" i="1" s="1"/>
  <c r="A133" i="1" s="1"/>
  <c r="A134" i="1" s="1"/>
  <c r="A135" i="1" s="1"/>
  <c r="A136" i="1" s="1"/>
  <c r="A137" i="1" s="1"/>
  <c r="A138" i="1" s="1"/>
  <c r="A139" i="1" s="1"/>
  <c r="A140" i="1" s="1"/>
  <c r="A141" i="1" s="1"/>
  <c r="K14" i="1"/>
  <c r="M14" i="1" s="1"/>
  <c r="J13" i="1"/>
  <c r="I13" i="1"/>
  <c r="H13" i="1"/>
  <c r="G13" i="1"/>
  <c r="F13" i="1"/>
  <c r="E13" i="1"/>
  <c r="D13" i="1"/>
  <c r="J12" i="1"/>
  <c r="I12" i="1"/>
  <c r="H12" i="1"/>
  <c r="G12" i="1"/>
  <c r="F12" i="1"/>
  <c r="E12" i="1"/>
  <c r="D12" i="1"/>
  <c r="D9" i="1"/>
  <c r="D8" i="1"/>
  <c r="D7" i="1"/>
  <c r="D6" i="1"/>
  <c r="D5" i="1"/>
  <c r="D4" i="1"/>
  <c r="D3" i="1"/>
  <c r="K1" i="1" l="1"/>
</calcChain>
</file>

<file path=xl/sharedStrings.xml><?xml version="1.0" encoding="utf-8"?>
<sst xmlns="http://schemas.openxmlformats.org/spreadsheetml/2006/main" count="275" uniqueCount="167">
  <si>
    <t>ORDENES DE COMPRA</t>
  </si>
  <si>
    <t>NOMBRE</t>
  </si>
  <si>
    <t>SAN JOSE</t>
  </si>
  <si>
    <t>C O N T A C T O - D I R E C T O</t>
  </si>
  <si>
    <t>ARMANDO LIMON</t>
  </si>
  <si>
    <t>D I R E C C I Ó N</t>
  </si>
  <si>
    <t>T E L E F O N O ( S )</t>
  </si>
  <si>
    <t>33 10479428</t>
  </si>
  <si>
    <t xml:space="preserve">SEMANA </t>
  </si>
  <si>
    <t>PERIODO</t>
  </si>
  <si>
    <t>armando_limons@hotmail.com</t>
  </si>
  <si>
    <t>F E C H A     Y      H O R A    D E     E N T R E G A</t>
  </si>
  <si>
    <t>N°</t>
  </si>
  <si>
    <t>DESCRIPCIÓN DEL ARTÍCULO</t>
  </si>
  <si>
    <t>UNIDAD</t>
  </si>
  <si>
    <t>DÍAS DE SEMANA</t>
  </si>
  <si>
    <t>CANTIDAD
TOTAL</t>
  </si>
  <si>
    <t>PRECIO UNITARIO</t>
  </si>
  <si>
    <t>PEDIDO  TOTAL</t>
  </si>
  <si>
    <t xml:space="preserve">Bidón </t>
  </si>
  <si>
    <t>Achiote</t>
  </si>
  <si>
    <t>Granel</t>
  </si>
  <si>
    <t>Ácido cítrico **</t>
  </si>
  <si>
    <t xml:space="preserve">Ajinomoto </t>
  </si>
  <si>
    <t>Bolsa de 1 kilo</t>
  </si>
  <si>
    <t>Ajo entero gde</t>
  </si>
  <si>
    <t>Ajo entero mediano</t>
  </si>
  <si>
    <t>Ajo molido</t>
  </si>
  <si>
    <t>Ajonjoli natural</t>
  </si>
  <si>
    <t>Ajonjoli negro</t>
  </si>
  <si>
    <t>Almendra</t>
  </si>
  <si>
    <t>Almendra fileteada</t>
  </si>
  <si>
    <t>Alubia chica</t>
  </si>
  <si>
    <t xml:space="preserve">Amaranto miel  </t>
  </si>
  <si>
    <t>Amaranto natural</t>
  </si>
  <si>
    <t>Anís estrella</t>
  </si>
  <si>
    <t xml:space="preserve">Arandano </t>
  </si>
  <si>
    <t xml:space="preserve">Arroz Sinaloa </t>
  </si>
  <si>
    <t>Avena</t>
  </si>
  <si>
    <t xml:space="preserve">Azucar  </t>
  </si>
  <si>
    <t xml:space="preserve">Azucar Glass </t>
  </si>
  <si>
    <t>Bulto de 5 kilos</t>
  </si>
  <si>
    <t>Cacahuate Japones</t>
  </si>
  <si>
    <t>Cacahuate pelado</t>
  </si>
  <si>
    <t>Camarón seco grande</t>
  </si>
  <si>
    <t>Camarón seco chico</t>
  </si>
  <si>
    <t>Canela entera C5</t>
  </si>
  <si>
    <t>Canela molida PURA</t>
  </si>
  <si>
    <t>Canela molida SINTETICA</t>
  </si>
  <si>
    <t>Capacillo No. 73 blanco **</t>
  </si>
  <si>
    <t>Paquete</t>
  </si>
  <si>
    <t>Carbonato</t>
  </si>
  <si>
    <t xml:space="preserve">Cebada para agua </t>
  </si>
  <si>
    <t>Bolsa de 500gm</t>
  </si>
  <si>
    <t>cereal chococrispis</t>
  </si>
  <si>
    <t>cereal froot loops</t>
  </si>
  <si>
    <t>cereal natural</t>
  </si>
  <si>
    <t>cereal zucaritas</t>
  </si>
  <si>
    <t>Chia</t>
  </si>
  <si>
    <t>Chilacate</t>
  </si>
  <si>
    <t xml:space="preserve">Chile Ancho </t>
  </si>
  <si>
    <t xml:space="preserve">Chile Arbol en polvo </t>
  </si>
  <si>
    <t xml:space="preserve">Chile Arbol sin cabo </t>
  </si>
  <si>
    <t>Chile Cascabel</t>
  </si>
  <si>
    <t>Chile Chipotle</t>
  </si>
  <si>
    <t xml:space="preserve">Chile Mirasol  </t>
  </si>
  <si>
    <t>Chile Morita</t>
  </si>
  <si>
    <t>Chile Mulato</t>
  </si>
  <si>
    <t>Chile Pasilla</t>
  </si>
  <si>
    <t xml:space="preserve">Chile Tajin </t>
  </si>
  <si>
    <t>Chispas de chocolate BLANCO*</t>
  </si>
  <si>
    <t>Chispas de chocolate OSCURO*</t>
  </si>
  <si>
    <t>Ciruela pasa s/h</t>
  </si>
  <si>
    <t>Clavo entero</t>
  </si>
  <si>
    <t>Coco dorado</t>
  </si>
  <si>
    <t>Coco rallado</t>
  </si>
  <si>
    <t>Cocoa  comercial *</t>
  </si>
  <si>
    <t>Cocoa negra *</t>
  </si>
  <si>
    <t>Colorante en polvo **</t>
  </si>
  <si>
    <t>Bote con 100gm</t>
  </si>
  <si>
    <t>Comino entero</t>
  </si>
  <si>
    <t>Consomé de barbacoa</t>
  </si>
  <si>
    <t xml:space="preserve">Consomé de Pollo Cucú </t>
  </si>
  <si>
    <t>Consomé de res</t>
  </si>
  <si>
    <t>Curry</t>
  </si>
  <si>
    <t>Dona congelada *</t>
  </si>
  <si>
    <t>Caja con 72 piezas</t>
  </si>
  <si>
    <t>Esencia de mantequilla **</t>
  </si>
  <si>
    <t>Bote con 1 litro</t>
  </si>
  <si>
    <t>Esencia de sabor **</t>
  </si>
  <si>
    <t xml:space="preserve">Flan en polvo </t>
  </si>
  <si>
    <t>Bolsa 875 gm</t>
  </si>
  <si>
    <t>Frijol BAYO</t>
  </si>
  <si>
    <t>Frijol Flor de junio</t>
  </si>
  <si>
    <t>Frijol negro</t>
  </si>
  <si>
    <t>Frijol peruano blanco</t>
  </si>
  <si>
    <t>Frijol peruano Higuera 1a</t>
  </si>
  <si>
    <t>Frijol TEXANO 1a</t>
  </si>
  <si>
    <t>Garbanza</t>
  </si>
  <si>
    <t>Gelatina varios sabores *</t>
  </si>
  <si>
    <t>Glace natural 5kg *</t>
  </si>
  <si>
    <t>Bote 5kg</t>
  </si>
  <si>
    <t>Gragea de Colores</t>
  </si>
  <si>
    <t>Granillo de chocolate</t>
  </si>
  <si>
    <t>Granillo de chocolate blanco</t>
  </si>
  <si>
    <t>Granillo de Colores</t>
  </si>
  <si>
    <t>Granola</t>
  </si>
  <si>
    <t>Grenetina Duche</t>
  </si>
  <si>
    <t>Haba</t>
  </si>
  <si>
    <t>Harina Integral</t>
  </si>
  <si>
    <t>Harina para hotcakes</t>
  </si>
  <si>
    <t>Harina trigo  44kg</t>
  </si>
  <si>
    <t>Bulto de 44 kg</t>
  </si>
  <si>
    <t>Harina trigo 10kg</t>
  </si>
  <si>
    <t>Bulto de 10 kg</t>
  </si>
  <si>
    <t>Hierbas finas</t>
  </si>
  <si>
    <t>Hojuela de papa</t>
  </si>
  <si>
    <t>Huevo  (al día)</t>
  </si>
  <si>
    <t>Caja por kilos</t>
  </si>
  <si>
    <t>Jamaica Colima</t>
  </si>
  <si>
    <t>Jamaica sudan</t>
  </si>
  <si>
    <t>Jengibre entero seco</t>
  </si>
  <si>
    <t>Laurel</t>
  </si>
  <si>
    <t>Lenteja chica</t>
  </si>
  <si>
    <t>Levadura saft isntant roja**</t>
  </si>
  <si>
    <t>Paquete de 500gm</t>
  </si>
  <si>
    <t>Linaza</t>
  </si>
  <si>
    <t>Maicena</t>
  </si>
  <si>
    <t>Maicena de sabor</t>
  </si>
  <si>
    <t>Paquete de 47g</t>
  </si>
  <si>
    <t>Maiz para pozole</t>
  </si>
  <si>
    <t>Manteca Vegetal</t>
  </si>
  <si>
    <t>Bote de 1 kilo</t>
  </si>
  <si>
    <t>Mejorana</t>
  </si>
  <si>
    <t xml:space="preserve">Mejorante para pan dulce </t>
  </si>
  <si>
    <t>Paquete de 440gm</t>
  </si>
  <si>
    <t xml:space="preserve">Mejorante para pan salado </t>
  </si>
  <si>
    <t>Molde jericalla c/50</t>
  </si>
  <si>
    <t>Paquete con 50 piezas</t>
  </si>
  <si>
    <t>Nuez en mitad</t>
  </si>
  <si>
    <t>Nuez Granillo</t>
  </si>
  <si>
    <t>Oregano</t>
  </si>
  <si>
    <t>Pan molido *</t>
  </si>
  <si>
    <t>Paprika</t>
  </si>
  <si>
    <t>Pasa chica</t>
  </si>
  <si>
    <t>Pasa grande</t>
  </si>
  <si>
    <t xml:space="preserve">Piloncillo  </t>
  </si>
  <si>
    <t>Pimienta negra entera</t>
  </si>
  <si>
    <t>Pimienta negra molida</t>
  </si>
  <si>
    <t>Pipián colorado c/3kg</t>
  </si>
  <si>
    <t>Bote con 3 kilos</t>
  </si>
  <si>
    <t xml:space="preserve">Polvo de camarón </t>
  </si>
  <si>
    <t>Quinoa</t>
  </si>
  <si>
    <t>Royal</t>
  </si>
  <si>
    <t>Sal de ajo</t>
  </si>
  <si>
    <t xml:space="preserve">Sal entera </t>
  </si>
  <si>
    <t xml:space="preserve">Sal molida </t>
  </si>
  <si>
    <t>Salvado de trigo</t>
  </si>
  <si>
    <t xml:space="preserve">Semilla de calabaza pelada </t>
  </si>
  <si>
    <t xml:space="preserve">Semilla de cilantro </t>
  </si>
  <si>
    <t>Semilla de girasol pelada</t>
  </si>
  <si>
    <t>Soya</t>
  </si>
  <si>
    <t>Tableta chocolate semiamargo*</t>
  </si>
  <si>
    <t>Tamarindo</t>
  </si>
  <si>
    <t>Tapioca</t>
  </si>
  <si>
    <t>Tomillo</t>
  </si>
  <si>
    <t>Aceite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</si>
</sst>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8" formatCode="&quot;$&quot;#,##0.00;[Red]\-&quot;$&quot;#,##0.00"/>
    <numFmt numFmtId="44" formatCode="_-&quot;$&quot;* #,##0.00_-;\-&quot;$&quot;* #,##0.00_-;_-&quot;$&quot;* &quot;-&quot;??_-;_-@_-"/>
    <numFmt numFmtId="164" formatCode="dd"/>
  </numFmts>
  <fonts count="1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20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9"/>
      <name val="Calibri"/>
      <family val="2"/>
      <scheme val="minor"/>
    </font>
    <font>
      <b/>
      <sz val="10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indexed="9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1" fillId="0" borderId="0">
      <alignment shrinkToFit="1"/>
    </xf>
    <xf numFmtId="0" fontId="1" fillId="0" borderId="0" applyNumberFormat="0" applyFill="0" applyBorder="0" applyAlignment="0" applyProtection="0">
      <alignment vertical="top"/>
      <protection locked="0"/>
    </xf>
    <xf numFmtId="0" fontId="1" fillId="0" borderId="0"/>
  </cellStyleXfs>
  <cellXfs count="50">
    <xf numFmtId="0" fontId="0" fillId="0" borderId="0" xfId="0"/>
    <xf numFmtId="0" fontId="0" fillId="0" borderId="0" xfId="0" applyProtection="1"/>
    <xf numFmtId="0" fontId="0" fillId="0" borderId="6" xfId="0" applyBorder="1" applyProtection="1"/>
    <xf numFmtId="0" fontId="0" fillId="0" borderId="7" xfId="0" applyBorder="1" applyProtection="1"/>
    <xf numFmtId="0" fontId="7" fillId="0" borderId="0" xfId="1" applyFont="1" applyAlignment="1" applyProtection="1">
      <alignment vertical="center"/>
    </xf>
    <xf numFmtId="0" fontId="7" fillId="0" borderId="0" xfId="1" applyFont="1" applyAlignment="1" applyProtection="1">
      <alignment horizontal="center" vertical="center"/>
    </xf>
    <xf numFmtId="0" fontId="8" fillId="0" borderId="14" xfId="1" applyFont="1" applyBorder="1" applyAlignment="1" applyProtection="1">
      <alignment horizontal="center" vertical="center"/>
    </xf>
    <xf numFmtId="164" fontId="8" fillId="0" borderId="14" xfId="3" applyNumberFormat="1" applyFont="1" applyBorder="1" applyAlignment="1" applyProtection="1">
      <alignment horizontal="center" vertical="top"/>
    </xf>
    <xf numFmtId="0" fontId="9" fillId="0" borderId="15" xfId="1" applyFont="1" applyBorder="1" applyAlignment="1">
      <alignment horizontal="center" vertical="center"/>
    </xf>
    <xf numFmtId="4" fontId="10" fillId="5" borderId="15" xfId="0" applyNumberFormat="1" applyFont="1" applyFill="1" applyBorder="1" applyAlignment="1">
      <alignment shrinkToFit="1"/>
    </xf>
    <xf numFmtId="0" fontId="10" fillId="0" borderId="15" xfId="1" applyFont="1" applyBorder="1" applyAlignment="1">
      <alignment horizontal="center" vertical="center"/>
    </xf>
    <xf numFmtId="0" fontId="10" fillId="0" borderId="15" xfId="1" applyFont="1" applyBorder="1" applyAlignment="1" applyProtection="1">
      <alignment horizontal="center" vertical="center"/>
      <protection locked="0"/>
    </xf>
    <xf numFmtId="0" fontId="10" fillId="0" borderId="15" xfId="1" applyFont="1" applyBorder="1" applyAlignment="1" applyProtection="1">
      <alignment horizontal="center" vertical="center"/>
    </xf>
    <xf numFmtId="8" fontId="10" fillId="0" borderId="15" xfId="1" applyNumberFormat="1" applyFont="1" applyFill="1" applyBorder="1" applyAlignment="1" applyProtection="1">
      <alignment horizontal="center" vertical="center"/>
      <protection locked="0"/>
    </xf>
    <xf numFmtId="44" fontId="9" fillId="0" borderId="15" xfId="1" applyNumberFormat="1" applyFont="1" applyBorder="1" applyAlignment="1" applyProtection="1">
      <alignment horizontal="center" vertical="center"/>
    </xf>
    <xf numFmtId="0" fontId="9" fillId="0" borderId="16" xfId="1" applyFont="1" applyBorder="1" applyAlignment="1">
      <alignment horizontal="center" vertical="center"/>
    </xf>
    <xf numFmtId="4" fontId="10" fillId="5" borderId="16" xfId="0" applyNumberFormat="1" applyFont="1" applyFill="1" applyBorder="1" applyAlignment="1">
      <alignment shrinkToFit="1"/>
    </xf>
    <xf numFmtId="0" fontId="10" fillId="0" borderId="16" xfId="1" applyFont="1" applyBorder="1" applyAlignment="1">
      <alignment horizontal="center" vertical="center"/>
    </xf>
    <xf numFmtId="0" fontId="10" fillId="0" borderId="16" xfId="1" applyFont="1" applyBorder="1" applyAlignment="1" applyProtection="1">
      <alignment horizontal="center" vertical="center"/>
      <protection locked="0"/>
    </xf>
    <xf numFmtId="0" fontId="10" fillId="0" borderId="16" xfId="1" applyFont="1" applyBorder="1" applyAlignment="1" applyProtection="1">
      <alignment horizontal="center" vertical="center"/>
    </xf>
    <xf numFmtId="8" fontId="10" fillId="0" borderId="16" xfId="1" applyNumberFormat="1" applyFont="1" applyFill="1" applyBorder="1" applyAlignment="1" applyProtection="1">
      <alignment horizontal="center" vertical="center"/>
      <protection locked="0"/>
    </xf>
    <xf numFmtId="4" fontId="10" fillId="0" borderId="16" xfId="0" applyNumberFormat="1" applyFont="1" applyBorder="1" applyAlignment="1">
      <alignment shrinkToFit="1"/>
    </xf>
    <xf numFmtId="0" fontId="11" fillId="0" borderId="16" xfId="0" applyFont="1" applyBorder="1" applyAlignment="1" applyProtection="1">
      <alignment horizontal="center"/>
      <protection locked="0"/>
    </xf>
    <xf numFmtId="0" fontId="11" fillId="0" borderId="16" xfId="0" applyFont="1" applyBorder="1" applyProtection="1">
      <protection locked="0"/>
    </xf>
    <xf numFmtId="0" fontId="0" fillId="0" borderId="0" xfId="0" applyAlignment="1">
      <alignment horizontal="center"/>
    </xf>
    <xf numFmtId="0" fontId="4" fillId="4" borderId="8" xfId="1" applyFont="1" applyFill="1" applyBorder="1" applyAlignment="1" applyProtection="1">
      <alignment horizontal="center" vertical="center"/>
    </xf>
    <xf numFmtId="0" fontId="4" fillId="4" borderId="9" xfId="1" applyFont="1" applyFill="1" applyBorder="1" applyAlignment="1" applyProtection="1">
      <alignment horizontal="center" vertical="center"/>
    </xf>
    <xf numFmtId="0" fontId="4" fillId="5" borderId="9" xfId="1" applyFont="1" applyFill="1" applyBorder="1" applyAlignment="1" applyProtection="1">
      <alignment horizontal="center" vertical="center" wrapText="1"/>
    </xf>
    <xf numFmtId="0" fontId="4" fillId="4" borderId="9" xfId="1" applyFont="1" applyFill="1" applyBorder="1" applyAlignment="1" applyProtection="1">
      <alignment horizontal="center" vertical="center" wrapText="1"/>
      <protection locked="0"/>
    </xf>
    <xf numFmtId="0" fontId="4" fillId="4" borderId="10" xfId="1" applyFont="1" applyFill="1" applyBorder="1" applyAlignment="1" applyProtection="1">
      <alignment horizontal="center" vertical="center" wrapText="1"/>
      <protection locked="0"/>
    </xf>
    <xf numFmtId="0" fontId="2" fillId="2" borderId="1" xfId="0" applyFont="1" applyFill="1" applyBorder="1" applyAlignment="1" applyProtection="1">
      <alignment horizontal="center"/>
    </xf>
    <xf numFmtId="0" fontId="2" fillId="2" borderId="2" xfId="0" applyFont="1" applyFill="1" applyBorder="1" applyAlignment="1" applyProtection="1">
      <alignment horizontal="center"/>
    </xf>
    <xf numFmtId="0" fontId="2" fillId="2" borderId="3" xfId="0" applyFont="1" applyFill="1" applyBorder="1" applyAlignment="1" applyProtection="1">
      <alignment horizontal="center"/>
    </xf>
    <xf numFmtId="44" fontId="3" fillId="3" borderId="4" xfId="0" applyNumberFormat="1" applyFont="1" applyFill="1" applyBorder="1" applyAlignment="1" applyProtection="1">
      <alignment horizontal="center"/>
    </xf>
    <xf numFmtId="44" fontId="3" fillId="3" borderId="2" xfId="0" applyNumberFormat="1" applyFont="1" applyFill="1" applyBorder="1" applyAlignment="1" applyProtection="1">
      <alignment horizontal="center"/>
    </xf>
    <xf numFmtId="44" fontId="3" fillId="3" borderId="5" xfId="0" applyNumberFormat="1" applyFont="1" applyFill="1" applyBorder="1" applyAlignment="1" applyProtection="1">
      <alignment horizontal="center"/>
    </xf>
    <xf numFmtId="0" fontId="4" fillId="4" borderId="9" xfId="1" applyFont="1" applyFill="1" applyBorder="1" applyAlignment="1" applyProtection="1">
      <alignment horizontal="center" vertical="center"/>
      <protection locked="0"/>
    </xf>
    <xf numFmtId="0" fontId="4" fillId="4" borderId="10" xfId="1" applyFont="1" applyFill="1" applyBorder="1" applyAlignment="1" applyProtection="1">
      <alignment horizontal="center" vertical="center"/>
      <protection locked="0"/>
    </xf>
    <xf numFmtId="0" fontId="4" fillId="0" borderId="9" xfId="1" applyFont="1" applyBorder="1" applyAlignment="1" applyProtection="1">
      <alignment horizontal="center" vertical="center"/>
      <protection locked="0"/>
    </xf>
    <xf numFmtId="0" fontId="4" fillId="0" borderId="10" xfId="1" applyFont="1" applyBorder="1" applyAlignment="1" applyProtection="1">
      <alignment horizontal="center" vertical="center"/>
      <protection locked="0"/>
    </xf>
    <xf numFmtId="0" fontId="1" fillId="0" borderId="9" xfId="2" applyBorder="1" applyAlignment="1" applyProtection="1">
      <alignment horizontal="center" vertical="center" wrapText="1"/>
      <protection locked="0"/>
    </xf>
    <xf numFmtId="0" fontId="5" fillId="0" borderId="9" xfId="1" applyFont="1" applyBorder="1" applyAlignment="1" applyProtection="1">
      <alignment horizontal="center" vertical="center" wrapText="1"/>
      <protection locked="0"/>
    </xf>
    <xf numFmtId="0" fontId="5" fillId="0" borderId="10" xfId="1" applyFont="1" applyBorder="1" applyAlignment="1" applyProtection="1">
      <alignment horizontal="center" vertical="center" wrapText="1"/>
      <protection locked="0"/>
    </xf>
    <xf numFmtId="0" fontId="5" fillId="0" borderId="12" xfId="1" applyFont="1" applyBorder="1" applyAlignment="1" applyProtection="1">
      <alignment horizontal="center" vertical="center" wrapText="1"/>
      <protection locked="0"/>
    </xf>
    <xf numFmtId="0" fontId="5" fillId="0" borderId="13" xfId="1" applyFont="1" applyBorder="1" applyAlignment="1" applyProtection="1">
      <alignment horizontal="center" vertical="center" wrapText="1"/>
      <protection locked="0"/>
    </xf>
    <xf numFmtId="0" fontId="4" fillId="4" borderId="11" xfId="1" applyFont="1" applyFill="1" applyBorder="1" applyAlignment="1" applyProtection="1">
      <alignment horizontal="center" vertical="center"/>
    </xf>
    <xf numFmtId="0" fontId="4" fillId="4" borderId="12" xfId="1" applyFont="1" applyFill="1" applyBorder="1" applyAlignment="1" applyProtection="1">
      <alignment horizontal="center" vertical="center"/>
    </xf>
    <xf numFmtId="18" fontId="6" fillId="6" borderId="12" xfId="1" applyNumberFormat="1" applyFont="1" applyFill="1" applyBorder="1" applyAlignment="1" applyProtection="1">
      <alignment horizontal="center" vertical="center"/>
      <protection locked="0"/>
    </xf>
    <xf numFmtId="0" fontId="4" fillId="7" borderId="14" xfId="1" applyFont="1" applyFill="1" applyBorder="1" applyAlignment="1" applyProtection="1">
      <alignment horizontal="center" vertical="center" wrapText="1"/>
    </xf>
    <xf numFmtId="0" fontId="4" fillId="7" borderId="14" xfId="1" applyFont="1" applyFill="1" applyBorder="1" applyAlignment="1" applyProtection="1">
      <alignment horizontal="center" vertical="center"/>
    </xf>
  </cellXfs>
  <cellStyles count="4">
    <cellStyle name="Hipervínculo 2" xfId="2" xr:uid="{00000000-0005-0000-0000-000000000000}"/>
    <cellStyle name="Normal" xfId="0" builtinId="0"/>
    <cellStyle name="Normal 2" xfId="1" xr:uid="{00000000-0005-0000-0000-000002000000}"/>
    <cellStyle name="Normal_REPORTE DE ASISTENCIA-NÓMINA GMS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63500</xdr:colOff>
      <xdr:row>0</xdr:row>
      <xdr:rowOff>31752</xdr:rowOff>
    </xdr:from>
    <xdr:to>
      <xdr:col>1</xdr:col>
      <xdr:colOff>1055158</xdr:colOff>
      <xdr:row>2</xdr:row>
      <xdr:rowOff>4498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96EA632A-38BA-41FA-B7BF-6F55695EBB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500" y="31752"/>
          <a:ext cx="1382183" cy="49662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luzan\Desktop\NUEVA%20%20ORDEN%20DE%20COMPRA%20%20JAGUAR%20ACTUALIZADA%20JULIO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OCHOA"/>
      <sheetName val="LICA"/>
      <sheetName val="FRULEFI"/>
      <sheetName val="RAYA"/>
      <sheetName val="RES (LA COLMENA)"/>
      <sheetName val="RES (LA SIERRA)"/>
      <sheetName val="POLLO"/>
      <sheetName val="CREMERIA"/>
      <sheetName val="PESCADO"/>
      <sheetName val="AL DIA"/>
      <sheetName val="HUERTA"/>
      <sheetName val="PRIMO"/>
      <sheetName val="LETTY"/>
      <sheetName val="T. CHIMAL"/>
      <sheetName val="T. MENDEZ"/>
      <sheetName val="BETTY"/>
      <sheetName val="HIELO"/>
      <sheetName val="LEMBEC"/>
      <sheetName val="COGAR"/>
      <sheetName val="PULPASTIC"/>
      <sheetName val="GUACAMOLE"/>
      <sheetName val="GALO"/>
      <sheetName val="BIMBO"/>
      <sheetName val="COCA"/>
      <sheetName val="PEPSI"/>
      <sheetName val="BOING"/>
      <sheetName val="YAZTEA"/>
      <sheetName val="SABRITAS"/>
      <sheetName val="DONUTS"/>
      <sheetName val="GAS "/>
      <sheetName val="COFFE SITE"/>
      <sheetName val="BOTANAS"/>
      <sheetName val="SELLO ROJO"/>
      <sheetName val="SAMS"/>
      <sheetName val="P. SUSY"/>
      <sheetName val="RESUMEN SEMANAL"/>
      <sheetName val="MENU DE LA SEMANA"/>
    </sheetNames>
    <sheetDataSet>
      <sheetData sheetId="0">
        <row r="3">
          <cell r="D3" t="str">
            <v>JAGUAR</v>
          </cell>
        </row>
        <row r="4">
          <cell r="D4" t="str">
            <v>YURIANA LOPEZ</v>
          </cell>
        </row>
        <row r="5">
          <cell r="D5" t="str">
            <v>jaguar@comixa.com.mx</v>
          </cell>
        </row>
        <row r="6">
          <cell r="D6">
            <v>3331481540</v>
          </cell>
        </row>
        <row r="7">
          <cell r="D7">
            <v>27</v>
          </cell>
        </row>
        <row r="8">
          <cell r="D8" t="str">
            <v>4 al 10 de julio del 2022</v>
          </cell>
        </row>
        <row r="9">
          <cell r="D9" t="str">
            <v>7:00 a.m a 12:00 pm</v>
          </cell>
        </row>
        <row r="12">
          <cell r="D12" t="str">
            <v>LUN</v>
          </cell>
          <cell r="E12" t="str">
            <v>MAR</v>
          </cell>
          <cell r="F12" t="str">
            <v>MIE</v>
          </cell>
          <cell r="G12" t="str">
            <v>JUE</v>
          </cell>
          <cell r="H12" t="str">
            <v>VIE</v>
          </cell>
          <cell r="I12" t="str">
            <v>SAB</v>
          </cell>
          <cell r="J12" t="str">
            <v>DOM</v>
          </cell>
        </row>
        <row r="13">
          <cell r="D13">
            <v>44746</v>
          </cell>
          <cell r="E13">
            <v>44747</v>
          </cell>
          <cell r="F13">
            <v>44748</v>
          </cell>
          <cell r="G13">
            <v>44749</v>
          </cell>
          <cell r="H13">
            <v>44750</v>
          </cell>
          <cell r="I13">
            <v>44751</v>
          </cell>
          <cell r="J13">
            <v>44752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rmando_limons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N141"/>
  <sheetViews>
    <sheetView tabSelected="1" zoomScale="90" zoomScaleNormal="90" zoomScaleSheetLayoutView="90" workbookViewId="0">
      <selection activeCell="B30" sqref="B30"/>
    </sheetView>
  </sheetViews>
  <sheetFormatPr baseColWidth="10" defaultColWidth="10.85546875" defaultRowHeight="15" x14ac:dyDescent="0.25"/>
  <cols>
    <col min="1" max="1" width="5.85546875" customWidth="1"/>
    <col min="2" max="2" width="38.140625" customWidth="1"/>
    <col min="3" max="3" width="13.140625" customWidth="1"/>
    <col min="4" max="4" width="8" style="24" customWidth="1"/>
    <col min="5" max="10" width="8" customWidth="1"/>
    <col min="11" max="11" width="10.85546875" customWidth="1"/>
    <col min="12" max="12" width="10.28515625" customWidth="1"/>
    <col min="14" max="14" width="2.7109375" customWidth="1"/>
  </cols>
  <sheetData>
    <row r="1" spans="1:14" ht="26.25" x14ac:dyDescent="0.4">
      <c r="A1" s="30" t="s">
        <v>0</v>
      </c>
      <c r="B1" s="31"/>
      <c r="C1" s="31"/>
      <c r="D1" s="31"/>
      <c r="E1" s="31"/>
      <c r="F1" s="31"/>
      <c r="G1" s="31"/>
      <c r="H1" s="31"/>
      <c r="I1" s="31"/>
      <c r="J1" s="32"/>
      <c r="K1" s="33">
        <f>SUM(M14:M141)</f>
        <v>4220</v>
      </c>
      <c r="L1" s="34"/>
      <c r="M1" s="35"/>
      <c r="N1" s="1"/>
    </row>
    <row r="2" spans="1:14" x14ac:dyDescent="0.25">
      <c r="A2" s="2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3"/>
      <c r="N2" s="1"/>
    </row>
    <row r="3" spans="1:14" ht="15" customHeight="1" x14ac:dyDescent="0.25">
      <c r="A3" s="25" t="s">
        <v>1</v>
      </c>
      <c r="B3" s="26"/>
      <c r="C3" s="26"/>
      <c r="D3" s="27" t="str">
        <f>[1]OCHOA!D3:J3</f>
        <v>JAGUAR</v>
      </c>
      <c r="E3" s="27"/>
      <c r="F3" s="27"/>
      <c r="G3" s="27"/>
      <c r="H3" s="27"/>
      <c r="I3" s="27"/>
      <c r="J3" s="27"/>
      <c r="K3" s="36" t="s">
        <v>2</v>
      </c>
      <c r="L3" s="36"/>
      <c r="M3" s="37"/>
      <c r="N3" s="1"/>
    </row>
    <row r="4" spans="1:14" x14ac:dyDescent="0.25">
      <c r="A4" s="25" t="s">
        <v>3</v>
      </c>
      <c r="B4" s="26"/>
      <c r="C4" s="26"/>
      <c r="D4" s="27" t="str">
        <f>[1]OCHOA!D4:J4</f>
        <v>YURIANA LOPEZ</v>
      </c>
      <c r="E4" s="27"/>
      <c r="F4" s="27"/>
      <c r="G4" s="27"/>
      <c r="H4" s="27"/>
      <c r="I4" s="27"/>
      <c r="J4" s="27"/>
      <c r="K4" s="28" t="s">
        <v>4</v>
      </c>
      <c r="L4" s="28"/>
      <c r="M4" s="29"/>
      <c r="N4" s="1"/>
    </row>
    <row r="5" spans="1:14" ht="15" customHeight="1" x14ac:dyDescent="0.25">
      <c r="A5" s="25" t="s">
        <v>5</v>
      </c>
      <c r="B5" s="26"/>
      <c r="C5" s="26"/>
      <c r="D5" s="27" t="str">
        <f>[1]OCHOA!D5:J5</f>
        <v>jaguar@comixa.com.mx</v>
      </c>
      <c r="E5" s="27"/>
      <c r="F5" s="27"/>
      <c r="G5" s="27"/>
      <c r="H5" s="27"/>
      <c r="I5" s="27"/>
      <c r="J5" s="27"/>
      <c r="K5" s="28"/>
      <c r="L5" s="28"/>
      <c r="M5" s="29"/>
      <c r="N5" s="1"/>
    </row>
    <row r="6" spans="1:14" x14ac:dyDescent="0.25">
      <c r="A6" s="25" t="s">
        <v>6</v>
      </c>
      <c r="B6" s="26"/>
      <c r="C6" s="26"/>
      <c r="D6" s="27">
        <f>[1]OCHOA!D6:J6</f>
        <v>3331481540</v>
      </c>
      <c r="E6" s="27"/>
      <c r="F6" s="27"/>
      <c r="G6" s="27"/>
      <c r="H6" s="27"/>
      <c r="I6" s="27"/>
      <c r="J6" s="27"/>
      <c r="K6" s="36" t="s">
        <v>7</v>
      </c>
      <c r="L6" s="36"/>
      <c r="M6" s="37"/>
      <c r="N6" s="1"/>
    </row>
    <row r="7" spans="1:14" x14ac:dyDescent="0.25">
      <c r="A7" s="25" t="s">
        <v>8</v>
      </c>
      <c r="B7" s="26"/>
      <c r="C7" s="26"/>
      <c r="D7" s="27">
        <f>[1]OCHOA!D7:J7</f>
        <v>27</v>
      </c>
      <c r="E7" s="27"/>
      <c r="F7" s="27"/>
      <c r="G7" s="27"/>
      <c r="H7" s="27"/>
      <c r="I7" s="27"/>
      <c r="J7" s="27"/>
      <c r="K7" s="38"/>
      <c r="L7" s="38"/>
      <c r="M7" s="39"/>
      <c r="N7" s="1"/>
    </row>
    <row r="8" spans="1:14" ht="15" customHeight="1" x14ac:dyDescent="0.25">
      <c r="A8" s="25" t="s">
        <v>9</v>
      </c>
      <c r="B8" s="26"/>
      <c r="C8" s="26"/>
      <c r="D8" s="27" t="str">
        <f>[1]OCHOA!D8:J8</f>
        <v>4 al 10 de julio del 2022</v>
      </c>
      <c r="E8" s="27"/>
      <c r="F8" s="27"/>
      <c r="G8" s="27"/>
      <c r="H8" s="27"/>
      <c r="I8" s="27"/>
      <c r="J8" s="27"/>
      <c r="K8" s="40" t="s">
        <v>10</v>
      </c>
      <c r="L8" s="41"/>
      <c r="M8" s="42"/>
      <c r="N8" s="1"/>
    </row>
    <row r="9" spans="1:14" ht="19.5" customHeight="1" thickBot="1" x14ac:dyDescent="0.3">
      <c r="A9" s="45" t="s">
        <v>11</v>
      </c>
      <c r="B9" s="46"/>
      <c r="C9" s="46"/>
      <c r="D9" s="47" t="str">
        <f>[1]OCHOA!D9:J9</f>
        <v>7:00 a.m a 12:00 pm</v>
      </c>
      <c r="E9" s="47"/>
      <c r="F9" s="47"/>
      <c r="G9" s="47"/>
      <c r="H9" s="47"/>
      <c r="I9" s="47"/>
      <c r="J9" s="47"/>
      <c r="K9" s="43"/>
      <c r="L9" s="43"/>
      <c r="M9" s="44"/>
      <c r="N9" s="1"/>
    </row>
    <row r="10" spans="1:14" ht="7.5" customHeight="1" thickBot="1" x14ac:dyDescent="0.3">
      <c r="A10" s="4"/>
      <c r="B10" s="4"/>
      <c r="C10" s="5"/>
      <c r="D10" s="5"/>
      <c r="E10" s="4"/>
      <c r="F10" s="4"/>
      <c r="G10" s="4"/>
      <c r="H10" s="4"/>
      <c r="I10" s="4"/>
      <c r="J10" s="4"/>
      <c r="K10" s="4"/>
      <c r="L10" s="4"/>
      <c r="M10" s="4"/>
      <c r="N10" s="1"/>
    </row>
    <row r="11" spans="1:14" ht="15.75" thickBot="1" x14ac:dyDescent="0.3">
      <c r="A11" s="49" t="s">
        <v>12</v>
      </c>
      <c r="B11" s="49" t="s">
        <v>13</v>
      </c>
      <c r="C11" s="49" t="s">
        <v>14</v>
      </c>
      <c r="D11" s="49" t="s">
        <v>15</v>
      </c>
      <c r="E11" s="49"/>
      <c r="F11" s="49"/>
      <c r="G11" s="49"/>
      <c r="H11" s="49"/>
      <c r="I11" s="49"/>
      <c r="J11" s="49"/>
      <c r="K11" s="48" t="s">
        <v>16</v>
      </c>
      <c r="L11" s="48" t="s">
        <v>17</v>
      </c>
      <c r="M11" s="48" t="s">
        <v>18</v>
      </c>
      <c r="N11" s="1"/>
    </row>
    <row r="12" spans="1:14" ht="15.75" thickBot="1" x14ac:dyDescent="0.3">
      <c r="A12" s="49"/>
      <c r="B12" s="49"/>
      <c r="C12" s="49"/>
      <c r="D12" s="6" t="str">
        <f>[1]OCHOA!D12</f>
        <v>LUN</v>
      </c>
      <c r="E12" s="6" t="str">
        <f>[1]OCHOA!E12</f>
        <v>MAR</v>
      </c>
      <c r="F12" s="6" t="str">
        <f>[1]OCHOA!F12</f>
        <v>MIE</v>
      </c>
      <c r="G12" s="6" t="str">
        <f>[1]OCHOA!G12</f>
        <v>JUE</v>
      </c>
      <c r="H12" s="6" t="str">
        <f>[1]OCHOA!H12</f>
        <v>VIE</v>
      </c>
      <c r="I12" s="6" t="str">
        <f>[1]OCHOA!I12</f>
        <v>SAB</v>
      </c>
      <c r="J12" s="6" t="str">
        <f>[1]OCHOA!J12</f>
        <v>DOM</v>
      </c>
      <c r="K12" s="48"/>
      <c r="L12" s="48"/>
      <c r="M12" s="48"/>
      <c r="N12" s="1"/>
    </row>
    <row r="13" spans="1:14" ht="15.75" thickBot="1" x14ac:dyDescent="0.3">
      <c r="A13" s="49"/>
      <c r="B13" s="49"/>
      <c r="C13" s="49"/>
      <c r="D13" s="7">
        <f>[1]OCHOA!D13</f>
        <v>44746</v>
      </c>
      <c r="E13" s="7">
        <f>[1]OCHOA!E13</f>
        <v>44747</v>
      </c>
      <c r="F13" s="7">
        <f>[1]OCHOA!F13</f>
        <v>44748</v>
      </c>
      <c r="G13" s="7">
        <f>[1]OCHOA!G13</f>
        <v>44749</v>
      </c>
      <c r="H13" s="7">
        <f>[1]OCHOA!H13</f>
        <v>44750</v>
      </c>
      <c r="I13" s="7">
        <f>[1]OCHOA!I13</f>
        <v>44751</v>
      </c>
      <c r="J13" s="7">
        <f>[1]OCHOA!J13</f>
        <v>44752</v>
      </c>
      <c r="K13" s="48"/>
      <c r="L13" s="48"/>
      <c r="M13" s="48"/>
      <c r="N13" s="1"/>
    </row>
    <row r="14" spans="1:14" ht="15.75" thickBot="1" x14ac:dyDescent="0.3">
      <c r="A14" s="8">
        <v>1</v>
      </c>
      <c r="B14" s="9" t="s">
        <v>166</v>
      </c>
      <c r="C14" s="10" t="s">
        <v>19</v>
      </c>
      <c r="D14" s="11"/>
      <c r="E14" s="11"/>
      <c r="F14" s="11"/>
      <c r="G14" s="11"/>
      <c r="H14" s="11"/>
      <c r="I14" s="11">
        <v>1</v>
      </c>
      <c r="J14" s="11"/>
      <c r="K14" s="12">
        <f t="shared" ref="K14:K45" si="0">SUM(D14:J14)</f>
        <v>1</v>
      </c>
      <c r="L14" s="13">
        <v>960</v>
      </c>
      <c r="M14" s="14">
        <f>K14*L14</f>
        <v>960</v>
      </c>
      <c r="N14" s="1"/>
    </row>
    <row r="15" spans="1:14" ht="15.75" hidden="1" thickBot="1" x14ac:dyDescent="0.3">
      <c r="A15" s="15">
        <f>A14+1</f>
        <v>2</v>
      </c>
      <c r="B15" s="16" t="s">
        <v>20</v>
      </c>
      <c r="C15" s="17" t="s">
        <v>21</v>
      </c>
      <c r="D15" s="18"/>
      <c r="E15" s="18"/>
      <c r="F15" s="18"/>
      <c r="G15" s="18"/>
      <c r="H15" s="18"/>
      <c r="I15" s="18"/>
      <c r="J15" s="18"/>
      <c r="K15" s="19">
        <f t="shared" si="0"/>
        <v>0</v>
      </c>
      <c r="L15" s="20">
        <v>67</v>
      </c>
      <c r="M15" s="14">
        <f t="shared" ref="M15:M78" si="1">K15*L15</f>
        <v>0</v>
      </c>
      <c r="N15" s="1"/>
    </row>
    <row r="16" spans="1:14" ht="15.75" hidden="1" thickBot="1" x14ac:dyDescent="0.3">
      <c r="A16" s="15">
        <f t="shared" ref="A16:A79" si="2">A15+1</f>
        <v>3</v>
      </c>
      <c r="B16" s="16" t="s">
        <v>22</v>
      </c>
      <c r="C16" s="17" t="s">
        <v>21</v>
      </c>
      <c r="D16" s="18"/>
      <c r="E16" s="18"/>
      <c r="F16" s="18"/>
      <c r="G16" s="18"/>
      <c r="H16" s="18"/>
      <c r="I16" s="18"/>
      <c r="J16" s="18"/>
      <c r="K16" s="19">
        <f t="shared" si="0"/>
        <v>0</v>
      </c>
      <c r="L16" s="20">
        <v>105</v>
      </c>
      <c r="M16" s="14">
        <f t="shared" si="1"/>
        <v>0</v>
      </c>
      <c r="N16" s="1"/>
    </row>
    <row r="17" spans="1:14" ht="15.75" hidden="1" thickBot="1" x14ac:dyDescent="0.3">
      <c r="A17" s="15">
        <f t="shared" si="2"/>
        <v>4</v>
      </c>
      <c r="B17" s="16" t="s">
        <v>23</v>
      </c>
      <c r="C17" s="17" t="s">
        <v>24</v>
      </c>
      <c r="D17" s="18"/>
      <c r="E17" s="18"/>
      <c r="F17" s="18"/>
      <c r="G17" s="18"/>
      <c r="H17" s="18"/>
      <c r="I17" s="18"/>
      <c r="J17" s="18"/>
      <c r="K17" s="19">
        <f t="shared" si="0"/>
        <v>0</v>
      </c>
      <c r="L17" s="20">
        <v>90</v>
      </c>
      <c r="M17" s="14">
        <f t="shared" si="1"/>
        <v>0</v>
      </c>
      <c r="N17" s="1"/>
    </row>
    <row r="18" spans="1:14" ht="15.75" hidden="1" thickBot="1" x14ac:dyDescent="0.3">
      <c r="A18" s="15">
        <f t="shared" si="2"/>
        <v>5</v>
      </c>
      <c r="B18" s="16" t="s">
        <v>25</v>
      </c>
      <c r="C18" s="17" t="s">
        <v>21</v>
      </c>
      <c r="D18" s="18"/>
      <c r="E18" s="18"/>
      <c r="F18" s="18"/>
      <c r="G18" s="18"/>
      <c r="H18" s="18"/>
      <c r="I18" s="18"/>
      <c r="J18" s="18"/>
      <c r="K18" s="19">
        <f t="shared" si="0"/>
        <v>0</v>
      </c>
      <c r="L18" s="20">
        <v>80</v>
      </c>
      <c r="M18" s="14">
        <f t="shared" si="1"/>
        <v>0</v>
      </c>
      <c r="N18" s="1"/>
    </row>
    <row r="19" spans="1:14" ht="15.75" hidden="1" thickBot="1" x14ac:dyDescent="0.3">
      <c r="A19" s="15">
        <f t="shared" si="2"/>
        <v>6</v>
      </c>
      <c r="B19" s="16" t="s">
        <v>26</v>
      </c>
      <c r="C19" s="17" t="s">
        <v>21</v>
      </c>
      <c r="D19" s="18"/>
      <c r="E19" s="18"/>
      <c r="F19" s="18"/>
      <c r="G19" s="18"/>
      <c r="H19" s="18"/>
      <c r="I19" s="18"/>
      <c r="J19" s="18"/>
      <c r="K19" s="19">
        <f t="shared" si="0"/>
        <v>0</v>
      </c>
      <c r="L19" s="20">
        <v>60</v>
      </c>
      <c r="M19" s="14">
        <f t="shared" si="1"/>
        <v>0</v>
      </c>
      <c r="N19" s="1"/>
    </row>
    <row r="20" spans="1:14" ht="15.75" hidden="1" thickBot="1" x14ac:dyDescent="0.3">
      <c r="A20" s="15">
        <f t="shared" si="2"/>
        <v>7</v>
      </c>
      <c r="B20" s="16" t="s">
        <v>27</v>
      </c>
      <c r="C20" s="17" t="s">
        <v>21</v>
      </c>
      <c r="D20" s="18"/>
      <c r="E20" s="18"/>
      <c r="F20" s="18"/>
      <c r="G20" s="18"/>
      <c r="H20" s="18"/>
      <c r="I20" s="18"/>
      <c r="J20" s="18"/>
      <c r="K20" s="19">
        <f t="shared" si="0"/>
        <v>0</v>
      </c>
      <c r="L20" s="20">
        <v>42</v>
      </c>
      <c r="M20" s="14">
        <f t="shared" si="1"/>
        <v>0</v>
      </c>
      <c r="N20" s="1"/>
    </row>
    <row r="21" spans="1:14" ht="15.75" hidden="1" thickBot="1" x14ac:dyDescent="0.3">
      <c r="A21" s="15">
        <f t="shared" si="2"/>
        <v>8</v>
      </c>
      <c r="B21" s="16" t="s">
        <v>28</v>
      </c>
      <c r="C21" s="17" t="s">
        <v>21</v>
      </c>
      <c r="D21" s="18"/>
      <c r="E21" s="18"/>
      <c r="F21" s="18"/>
      <c r="G21" s="18"/>
      <c r="H21" s="18"/>
      <c r="I21" s="18"/>
      <c r="J21" s="18"/>
      <c r="K21" s="19">
        <f t="shared" si="0"/>
        <v>0</v>
      </c>
      <c r="L21" s="20">
        <v>70</v>
      </c>
      <c r="M21" s="14">
        <f t="shared" si="1"/>
        <v>0</v>
      </c>
      <c r="N21" s="1"/>
    </row>
    <row r="22" spans="1:14" ht="15.75" hidden="1" thickBot="1" x14ac:dyDescent="0.3">
      <c r="A22" s="15">
        <f t="shared" si="2"/>
        <v>9</v>
      </c>
      <c r="B22" s="16" t="s">
        <v>29</v>
      </c>
      <c r="C22" s="17" t="s">
        <v>21</v>
      </c>
      <c r="D22" s="18"/>
      <c r="E22" s="18"/>
      <c r="F22" s="18"/>
      <c r="G22" s="18"/>
      <c r="H22" s="18"/>
      <c r="I22" s="18"/>
      <c r="J22" s="18"/>
      <c r="K22" s="19">
        <f t="shared" si="0"/>
        <v>0</v>
      </c>
      <c r="L22" s="20">
        <v>110</v>
      </c>
      <c r="M22" s="14">
        <f t="shared" si="1"/>
        <v>0</v>
      </c>
      <c r="N22" s="1"/>
    </row>
    <row r="23" spans="1:14" ht="15.75" hidden="1" thickBot="1" x14ac:dyDescent="0.3">
      <c r="A23" s="15">
        <f t="shared" si="2"/>
        <v>10</v>
      </c>
      <c r="B23" s="16" t="s">
        <v>30</v>
      </c>
      <c r="C23" s="17" t="s">
        <v>21</v>
      </c>
      <c r="D23" s="18"/>
      <c r="E23" s="18"/>
      <c r="F23" s="18"/>
      <c r="G23" s="18"/>
      <c r="H23" s="18"/>
      <c r="I23" s="18"/>
      <c r="J23" s="18"/>
      <c r="K23" s="19">
        <f t="shared" si="0"/>
        <v>0</v>
      </c>
      <c r="L23" s="20">
        <v>180</v>
      </c>
      <c r="M23" s="14">
        <f t="shared" si="1"/>
        <v>0</v>
      </c>
      <c r="N23" s="1"/>
    </row>
    <row r="24" spans="1:14" ht="15.75" hidden="1" thickBot="1" x14ac:dyDescent="0.3">
      <c r="A24" s="15">
        <f t="shared" si="2"/>
        <v>11</v>
      </c>
      <c r="B24" s="16" t="s">
        <v>31</v>
      </c>
      <c r="C24" s="17" t="s">
        <v>21</v>
      </c>
      <c r="D24" s="18"/>
      <c r="E24" s="18"/>
      <c r="F24" s="18"/>
      <c r="G24" s="18"/>
      <c r="H24" s="18"/>
      <c r="I24" s="18"/>
      <c r="J24" s="18"/>
      <c r="K24" s="19">
        <f t="shared" si="0"/>
        <v>0</v>
      </c>
      <c r="L24" s="20">
        <v>228</v>
      </c>
      <c r="M24" s="14">
        <f t="shared" si="1"/>
        <v>0</v>
      </c>
      <c r="N24" s="1"/>
    </row>
    <row r="25" spans="1:14" ht="15.75" hidden="1" thickBot="1" x14ac:dyDescent="0.3">
      <c r="A25" s="15">
        <f t="shared" si="2"/>
        <v>12</v>
      </c>
      <c r="B25" s="16" t="s">
        <v>32</v>
      </c>
      <c r="C25" s="17" t="s">
        <v>21</v>
      </c>
      <c r="D25" s="18"/>
      <c r="E25" s="18"/>
      <c r="F25" s="18"/>
      <c r="G25" s="18"/>
      <c r="H25" s="18"/>
      <c r="I25" s="18"/>
      <c r="J25" s="18"/>
      <c r="K25" s="19">
        <f t="shared" si="0"/>
        <v>0</v>
      </c>
      <c r="L25" s="20">
        <v>34</v>
      </c>
      <c r="M25" s="14">
        <f t="shared" si="1"/>
        <v>0</v>
      </c>
      <c r="N25" s="1"/>
    </row>
    <row r="26" spans="1:14" ht="15.75" hidden="1" thickBot="1" x14ac:dyDescent="0.3">
      <c r="A26" s="15">
        <f t="shared" si="2"/>
        <v>13</v>
      </c>
      <c r="B26" s="16" t="s">
        <v>33</v>
      </c>
      <c r="C26" s="17" t="s">
        <v>24</v>
      </c>
      <c r="D26" s="18"/>
      <c r="E26" s="18"/>
      <c r="F26" s="18"/>
      <c r="G26" s="18"/>
      <c r="H26" s="18"/>
      <c r="I26" s="18"/>
      <c r="J26" s="18"/>
      <c r="K26" s="19">
        <f t="shared" si="0"/>
        <v>0</v>
      </c>
      <c r="L26" s="20">
        <v>60</v>
      </c>
      <c r="M26" s="14">
        <f t="shared" si="1"/>
        <v>0</v>
      </c>
      <c r="N26" s="1"/>
    </row>
    <row r="27" spans="1:14" ht="15.75" hidden="1" thickBot="1" x14ac:dyDescent="0.3">
      <c r="A27" s="15">
        <f t="shared" si="2"/>
        <v>14</v>
      </c>
      <c r="B27" s="16" t="s">
        <v>34</v>
      </c>
      <c r="C27" s="17" t="s">
        <v>21</v>
      </c>
      <c r="D27" s="18"/>
      <c r="E27" s="18"/>
      <c r="F27" s="18"/>
      <c r="G27" s="18"/>
      <c r="H27" s="18"/>
      <c r="I27" s="18"/>
      <c r="J27" s="18"/>
      <c r="K27" s="19">
        <f t="shared" si="0"/>
        <v>0</v>
      </c>
      <c r="L27" s="20">
        <v>60</v>
      </c>
      <c r="M27" s="14">
        <f t="shared" si="1"/>
        <v>0</v>
      </c>
      <c r="N27" s="1"/>
    </row>
    <row r="28" spans="1:14" ht="15.75" hidden="1" thickBot="1" x14ac:dyDescent="0.3">
      <c r="A28" s="15">
        <f t="shared" si="2"/>
        <v>15</v>
      </c>
      <c r="B28" s="16" t="s">
        <v>35</v>
      </c>
      <c r="C28" s="17" t="s">
        <v>21</v>
      </c>
      <c r="D28" s="18"/>
      <c r="E28" s="18"/>
      <c r="F28" s="18"/>
      <c r="G28" s="18"/>
      <c r="H28" s="18"/>
      <c r="I28" s="18"/>
      <c r="J28" s="18"/>
      <c r="K28" s="19">
        <f t="shared" si="0"/>
        <v>0</v>
      </c>
      <c r="L28" s="20">
        <v>505</v>
      </c>
      <c r="M28" s="14">
        <f t="shared" si="1"/>
        <v>0</v>
      </c>
      <c r="N28" s="1"/>
    </row>
    <row r="29" spans="1:14" ht="15.75" hidden="1" thickBot="1" x14ac:dyDescent="0.3">
      <c r="A29" s="15">
        <f t="shared" si="2"/>
        <v>16</v>
      </c>
      <c r="B29" s="16" t="s">
        <v>36</v>
      </c>
      <c r="C29" s="17" t="s">
        <v>24</v>
      </c>
      <c r="D29" s="18"/>
      <c r="E29" s="18"/>
      <c r="F29" s="18"/>
      <c r="G29" s="18"/>
      <c r="H29" s="18"/>
      <c r="I29" s="18"/>
      <c r="J29" s="18"/>
      <c r="K29" s="19">
        <f t="shared" si="0"/>
        <v>0</v>
      </c>
      <c r="L29" s="20">
        <v>118</v>
      </c>
      <c r="M29" s="14">
        <f t="shared" si="1"/>
        <v>0</v>
      </c>
      <c r="N29" s="1"/>
    </row>
    <row r="30" spans="1:14" ht="15.75" thickBot="1" x14ac:dyDescent="0.3">
      <c r="A30" s="15">
        <f t="shared" si="2"/>
        <v>17</v>
      </c>
      <c r="B30" s="16" t="s">
        <v>37</v>
      </c>
      <c r="C30" s="17" t="s">
        <v>21</v>
      </c>
      <c r="D30" s="18"/>
      <c r="E30" s="18"/>
      <c r="F30" s="18"/>
      <c r="G30" s="18"/>
      <c r="H30" s="18"/>
      <c r="I30" s="18">
        <v>25</v>
      </c>
      <c r="J30" s="18"/>
      <c r="K30" s="19">
        <f t="shared" si="0"/>
        <v>25</v>
      </c>
      <c r="L30" s="20">
        <v>20</v>
      </c>
      <c r="M30" s="14">
        <f t="shared" si="1"/>
        <v>500</v>
      </c>
      <c r="N30" s="1"/>
    </row>
    <row r="31" spans="1:14" ht="15.75" thickBot="1" x14ac:dyDescent="0.3">
      <c r="A31" s="15">
        <f t="shared" si="2"/>
        <v>18</v>
      </c>
      <c r="B31" s="16" t="s">
        <v>38</v>
      </c>
      <c r="C31" s="17" t="s">
        <v>21</v>
      </c>
      <c r="D31" s="18"/>
      <c r="E31" s="18"/>
      <c r="F31" s="18"/>
      <c r="G31" s="18"/>
      <c r="H31" s="18"/>
      <c r="I31" s="18">
        <v>2</v>
      </c>
      <c r="J31" s="18"/>
      <c r="K31" s="19">
        <f t="shared" si="0"/>
        <v>2</v>
      </c>
      <c r="L31" s="20">
        <v>22</v>
      </c>
      <c r="M31" s="14">
        <f t="shared" si="1"/>
        <v>44</v>
      </c>
      <c r="N31" s="1"/>
    </row>
    <row r="32" spans="1:14" ht="15.75" thickBot="1" x14ac:dyDescent="0.3">
      <c r="A32" s="15">
        <f t="shared" si="2"/>
        <v>19</v>
      </c>
      <c r="B32" s="16" t="s">
        <v>39</v>
      </c>
      <c r="C32" s="17" t="s">
        <v>21</v>
      </c>
      <c r="D32" s="18"/>
      <c r="E32" s="18"/>
      <c r="F32" s="18"/>
      <c r="G32" s="18"/>
      <c r="H32" s="18"/>
      <c r="I32" s="18">
        <v>30</v>
      </c>
      <c r="J32" s="18"/>
      <c r="K32" s="19">
        <f t="shared" si="0"/>
        <v>30</v>
      </c>
      <c r="L32" s="20">
        <v>20</v>
      </c>
      <c r="M32" s="14">
        <f t="shared" si="1"/>
        <v>600</v>
      </c>
      <c r="N32" s="1"/>
    </row>
    <row r="33" spans="1:14" ht="15.75" hidden="1" thickBot="1" x14ac:dyDescent="0.3">
      <c r="A33" s="15">
        <f t="shared" si="2"/>
        <v>20</v>
      </c>
      <c r="B33" s="16" t="s">
        <v>40</v>
      </c>
      <c r="C33" s="17" t="s">
        <v>41</v>
      </c>
      <c r="D33" s="18"/>
      <c r="E33" s="18"/>
      <c r="F33" s="18"/>
      <c r="G33" s="18"/>
      <c r="H33" s="18"/>
      <c r="I33" s="18"/>
      <c r="J33" s="18"/>
      <c r="K33" s="19">
        <f t="shared" si="0"/>
        <v>0</v>
      </c>
      <c r="L33" s="20">
        <v>150</v>
      </c>
      <c r="M33" s="14">
        <f t="shared" si="1"/>
        <v>0</v>
      </c>
      <c r="N33" s="1"/>
    </row>
    <row r="34" spans="1:14" ht="15.75" hidden="1" thickBot="1" x14ac:dyDescent="0.3">
      <c r="A34" s="15">
        <f t="shared" si="2"/>
        <v>21</v>
      </c>
      <c r="B34" s="16" t="s">
        <v>42</v>
      </c>
      <c r="C34" s="17" t="s">
        <v>24</v>
      </c>
      <c r="D34" s="18"/>
      <c r="E34" s="18"/>
      <c r="F34" s="18"/>
      <c r="G34" s="18"/>
      <c r="H34" s="18"/>
      <c r="I34" s="18"/>
      <c r="J34" s="18"/>
      <c r="K34" s="19">
        <f t="shared" si="0"/>
        <v>0</v>
      </c>
      <c r="L34" s="20">
        <v>60</v>
      </c>
      <c r="M34" s="14">
        <f t="shared" si="1"/>
        <v>0</v>
      </c>
      <c r="N34" s="1"/>
    </row>
    <row r="35" spans="1:14" ht="15.75" hidden="1" thickBot="1" x14ac:dyDescent="0.3">
      <c r="A35" s="15">
        <f t="shared" si="2"/>
        <v>22</v>
      </c>
      <c r="B35" s="16" t="s">
        <v>43</v>
      </c>
      <c r="C35" s="17" t="s">
        <v>21</v>
      </c>
      <c r="D35" s="18"/>
      <c r="E35" s="18"/>
      <c r="F35" s="18"/>
      <c r="G35" s="18"/>
      <c r="H35" s="18"/>
      <c r="I35" s="18"/>
      <c r="J35" s="18"/>
      <c r="K35" s="19">
        <f t="shared" si="0"/>
        <v>0</v>
      </c>
      <c r="L35" s="20">
        <v>55</v>
      </c>
      <c r="M35" s="14">
        <f t="shared" si="1"/>
        <v>0</v>
      </c>
      <c r="N35" s="1"/>
    </row>
    <row r="36" spans="1:14" ht="15.75" hidden="1" thickBot="1" x14ac:dyDescent="0.3">
      <c r="A36" s="15">
        <f t="shared" si="2"/>
        <v>23</v>
      </c>
      <c r="B36" s="16" t="s">
        <v>44</v>
      </c>
      <c r="C36" s="17" t="s">
        <v>21</v>
      </c>
      <c r="D36" s="18"/>
      <c r="E36" s="18"/>
      <c r="F36" s="18"/>
      <c r="G36" s="18"/>
      <c r="H36" s="18"/>
      <c r="I36" s="18"/>
      <c r="J36" s="18"/>
      <c r="K36" s="19">
        <f t="shared" si="0"/>
        <v>0</v>
      </c>
      <c r="L36" s="20">
        <v>375</v>
      </c>
      <c r="M36" s="14">
        <f t="shared" si="1"/>
        <v>0</v>
      </c>
      <c r="N36" s="1"/>
    </row>
    <row r="37" spans="1:14" ht="15.75" hidden="1" thickBot="1" x14ac:dyDescent="0.3">
      <c r="A37" s="15">
        <f t="shared" si="2"/>
        <v>24</v>
      </c>
      <c r="B37" s="16" t="s">
        <v>45</v>
      </c>
      <c r="C37" s="17" t="s">
        <v>21</v>
      </c>
      <c r="D37" s="18"/>
      <c r="E37" s="18"/>
      <c r="F37" s="18"/>
      <c r="G37" s="18"/>
      <c r="H37" s="18"/>
      <c r="I37" s="18"/>
      <c r="J37" s="18"/>
      <c r="K37" s="19">
        <f t="shared" si="0"/>
        <v>0</v>
      </c>
      <c r="L37" s="20">
        <v>240</v>
      </c>
      <c r="M37" s="14">
        <f t="shared" si="1"/>
        <v>0</v>
      </c>
      <c r="N37" s="1"/>
    </row>
    <row r="38" spans="1:14" ht="15.75" hidden="1" thickBot="1" x14ac:dyDescent="0.3">
      <c r="A38" s="15">
        <f t="shared" si="2"/>
        <v>25</v>
      </c>
      <c r="B38" s="16" t="s">
        <v>46</v>
      </c>
      <c r="C38" s="17" t="s">
        <v>21</v>
      </c>
      <c r="D38" s="18"/>
      <c r="E38" s="18"/>
      <c r="F38" s="18"/>
      <c r="G38" s="18"/>
      <c r="H38" s="18"/>
      <c r="I38" s="18"/>
      <c r="J38" s="18"/>
      <c r="K38" s="19">
        <f t="shared" si="0"/>
        <v>0</v>
      </c>
      <c r="L38" s="20">
        <v>530</v>
      </c>
      <c r="M38" s="14">
        <f t="shared" si="1"/>
        <v>0</v>
      </c>
      <c r="N38" s="1"/>
    </row>
    <row r="39" spans="1:14" ht="15.75" hidden="1" thickBot="1" x14ac:dyDescent="0.3">
      <c r="A39" s="15">
        <f t="shared" si="2"/>
        <v>26</v>
      </c>
      <c r="B39" s="16" t="s">
        <v>47</v>
      </c>
      <c r="C39" s="17" t="s">
        <v>21</v>
      </c>
      <c r="D39" s="18"/>
      <c r="E39" s="18"/>
      <c r="F39" s="18"/>
      <c r="G39" s="18"/>
      <c r="H39" s="18"/>
      <c r="I39" s="18"/>
      <c r="J39" s="18"/>
      <c r="K39" s="19">
        <f t="shared" si="0"/>
        <v>0</v>
      </c>
      <c r="L39" s="20">
        <v>80</v>
      </c>
      <c r="M39" s="14">
        <f t="shared" si="1"/>
        <v>0</v>
      </c>
      <c r="N39" s="1"/>
    </row>
    <row r="40" spans="1:14" ht="15.75" hidden="1" thickBot="1" x14ac:dyDescent="0.3">
      <c r="A40" s="15">
        <f t="shared" si="2"/>
        <v>27</v>
      </c>
      <c r="B40" s="16" t="s">
        <v>48</v>
      </c>
      <c r="C40" s="17" t="s">
        <v>21</v>
      </c>
      <c r="D40" s="18"/>
      <c r="E40" s="18"/>
      <c r="F40" s="18"/>
      <c r="G40" s="18"/>
      <c r="H40" s="18"/>
      <c r="I40" s="18"/>
      <c r="J40" s="18"/>
      <c r="K40" s="19">
        <f t="shared" si="0"/>
        <v>0</v>
      </c>
      <c r="L40" s="20">
        <v>55</v>
      </c>
      <c r="M40" s="14">
        <f t="shared" si="1"/>
        <v>0</v>
      </c>
      <c r="N40" s="1"/>
    </row>
    <row r="41" spans="1:14" ht="15.75" hidden="1" thickBot="1" x14ac:dyDescent="0.3">
      <c r="A41" s="15">
        <f t="shared" si="2"/>
        <v>28</v>
      </c>
      <c r="B41" s="16" t="s">
        <v>49</v>
      </c>
      <c r="C41" s="17" t="s">
        <v>50</v>
      </c>
      <c r="D41" s="18"/>
      <c r="E41" s="18"/>
      <c r="F41" s="18"/>
      <c r="G41" s="18"/>
      <c r="H41" s="18"/>
      <c r="I41" s="18"/>
      <c r="J41" s="18"/>
      <c r="K41" s="19">
        <f t="shared" si="0"/>
        <v>0</v>
      </c>
      <c r="L41" s="20">
        <v>70</v>
      </c>
      <c r="M41" s="14">
        <f t="shared" si="1"/>
        <v>0</v>
      </c>
      <c r="N41" s="1"/>
    </row>
    <row r="42" spans="1:14" ht="15.75" hidden="1" thickBot="1" x14ac:dyDescent="0.3">
      <c r="A42" s="15">
        <f t="shared" si="2"/>
        <v>29</v>
      </c>
      <c r="B42" s="16" t="s">
        <v>51</v>
      </c>
      <c r="C42" s="17" t="s">
        <v>21</v>
      </c>
      <c r="D42" s="18"/>
      <c r="E42" s="18"/>
      <c r="F42" s="18"/>
      <c r="G42" s="18"/>
      <c r="H42" s="18"/>
      <c r="I42" s="18"/>
      <c r="J42" s="18"/>
      <c r="K42" s="19">
        <f t="shared" si="0"/>
        <v>0</v>
      </c>
      <c r="L42" s="20">
        <v>20</v>
      </c>
      <c r="M42" s="14">
        <f t="shared" si="1"/>
        <v>0</v>
      </c>
      <c r="N42" s="1"/>
    </row>
    <row r="43" spans="1:14" ht="15.75" hidden="1" thickBot="1" x14ac:dyDescent="0.3">
      <c r="A43" s="15">
        <f t="shared" si="2"/>
        <v>30</v>
      </c>
      <c r="B43" s="16" t="s">
        <v>52</v>
      </c>
      <c r="C43" s="17" t="s">
        <v>53</v>
      </c>
      <c r="D43" s="18"/>
      <c r="E43" s="18"/>
      <c r="F43" s="18"/>
      <c r="G43" s="18"/>
      <c r="H43" s="18"/>
      <c r="I43" s="18"/>
      <c r="J43" s="18"/>
      <c r="K43" s="19">
        <f t="shared" si="0"/>
        <v>0</v>
      </c>
      <c r="L43" s="20">
        <v>25</v>
      </c>
      <c r="M43" s="14">
        <f t="shared" si="1"/>
        <v>0</v>
      </c>
      <c r="N43" s="1"/>
    </row>
    <row r="44" spans="1:14" ht="15.75" hidden="1" thickBot="1" x14ac:dyDescent="0.3">
      <c r="A44" s="15">
        <f t="shared" si="2"/>
        <v>31</v>
      </c>
      <c r="B44" s="16" t="s">
        <v>54</v>
      </c>
      <c r="C44" s="17" t="s">
        <v>21</v>
      </c>
      <c r="D44" s="18"/>
      <c r="E44" s="18"/>
      <c r="F44" s="18"/>
      <c r="G44" s="18"/>
      <c r="H44" s="18"/>
      <c r="I44" s="18"/>
      <c r="J44" s="18"/>
      <c r="K44" s="19">
        <f t="shared" si="0"/>
        <v>0</v>
      </c>
      <c r="L44" s="20">
        <v>70</v>
      </c>
      <c r="M44" s="14">
        <f t="shared" si="1"/>
        <v>0</v>
      </c>
      <c r="N44" s="1"/>
    </row>
    <row r="45" spans="1:14" ht="15.75" hidden="1" thickBot="1" x14ac:dyDescent="0.3">
      <c r="A45" s="15">
        <f t="shared" si="2"/>
        <v>32</v>
      </c>
      <c r="B45" s="16" t="s">
        <v>55</v>
      </c>
      <c r="C45" s="17" t="s">
        <v>21</v>
      </c>
      <c r="D45" s="18"/>
      <c r="E45" s="18"/>
      <c r="F45" s="18"/>
      <c r="G45" s="18"/>
      <c r="H45" s="18"/>
      <c r="I45" s="18"/>
      <c r="J45" s="18"/>
      <c r="K45" s="19">
        <f t="shared" si="0"/>
        <v>0</v>
      </c>
      <c r="L45" s="20">
        <v>70</v>
      </c>
      <c r="M45" s="14">
        <f t="shared" si="1"/>
        <v>0</v>
      </c>
      <c r="N45" s="1"/>
    </row>
    <row r="46" spans="1:14" ht="15.75" hidden="1" thickBot="1" x14ac:dyDescent="0.3">
      <c r="A46" s="15">
        <f t="shared" si="2"/>
        <v>33</v>
      </c>
      <c r="B46" s="16" t="s">
        <v>56</v>
      </c>
      <c r="C46" s="17" t="s">
        <v>21</v>
      </c>
      <c r="D46" s="18"/>
      <c r="E46" s="18"/>
      <c r="F46" s="18"/>
      <c r="G46" s="18"/>
      <c r="H46" s="18"/>
      <c r="I46" s="18"/>
      <c r="J46" s="18"/>
      <c r="K46" s="19">
        <f t="shared" ref="K46:K78" si="3">SUM(D46:J46)</f>
        <v>0</v>
      </c>
      <c r="L46" s="20">
        <v>70</v>
      </c>
      <c r="M46" s="14">
        <f t="shared" si="1"/>
        <v>0</v>
      </c>
      <c r="N46" s="1"/>
    </row>
    <row r="47" spans="1:14" ht="15.75" hidden="1" thickBot="1" x14ac:dyDescent="0.3">
      <c r="A47" s="15">
        <f t="shared" si="2"/>
        <v>34</v>
      </c>
      <c r="B47" s="16" t="s">
        <v>57</v>
      </c>
      <c r="C47" s="17" t="s">
        <v>21</v>
      </c>
      <c r="D47" s="18"/>
      <c r="E47" s="18"/>
      <c r="F47" s="18"/>
      <c r="G47" s="18"/>
      <c r="H47" s="18"/>
      <c r="I47" s="18"/>
      <c r="J47" s="18"/>
      <c r="K47" s="19">
        <f t="shared" si="3"/>
        <v>0</v>
      </c>
      <c r="L47" s="20">
        <v>70</v>
      </c>
      <c r="M47" s="14">
        <f t="shared" si="1"/>
        <v>0</v>
      </c>
      <c r="N47" s="1"/>
    </row>
    <row r="48" spans="1:14" ht="15.75" hidden="1" thickBot="1" x14ac:dyDescent="0.3">
      <c r="A48" s="15">
        <f t="shared" si="2"/>
        <v>35</v>
      </c>
      <c r="B48" s="16" t="s">
        <v>58</v>
      </c>
      <c r="C48" s="17" t="s">
        <v>21</v>
      </c>
      <c r="D48" s="18"/>
      <c r="E48" s="18"/>
      <c r="F48" s="18"/>
      <c r="G48" s="18"/>
      <c r="H48" s="18"/>
      <c r="I48" s="18"/>
      <c r="J48" s="18"/>
      <c r="K48" s="19">
        <f t="shared" si="3"/>
        <v>0</v>
      </c>
      <c r="L48" s="20">
        <v>100</v>
      </c>
      <c r="M48" s="14">
        <f t="shared" si="1"/>
        <v>0</v>
      </c>
      <c r="N48" s="1"/>
    </row>
    <row r="49" spans="1:14" ht="15.75" hidden="1" thickBot="1" x14ac:dyDescent="0.3">
      <c r="A49" s="15">
        <f t="shared" si="2"/>
        <v>36</v>
      </c>
      <c r="B49" s="16" t="s">
        <v>59</v>
      </c>
      <c r="C49" s="17" t="s">
        <v>21</v>
      </c>
      <c r="D49" s="18"/>
      <c r="E49" s="18"/>
      <c r="F49" s="18"/>
      <c r="G49" s="18"/>
      <c r="H49" s="18"/>
      <c r="I49" s="18"/>
      <c r="J49" s="18"/>
      <c r="K49" s="19">
        <f t="shared" si="3"/>
        <v>0</v>
      </c>
      <c r="L49" s="20">
        <v>150</v>
      </c>
      <c r="M49" s="14">
        <f t="shared" si="1"/>
        <v>0</v>
      </c>
      <c r="N49" s="1"/>
    </row>
    <row r="50" spans="1:14" ht="15.75" hidden="1" thickBot="1" x14ac:dyDescent="0.3">
      <c r="A50" s="15">
        <f t="shared" si="2"/>
        <v>37</v>
      </c>
      <c r="B50" s="16" t="s">
        <v>60</v>
      </c>
      <c r="C50" s="17" t="s">
        <v>21</v>
      </c>
      <c r="D50" s="18"/>
      <c r="E50" s="18"/>
      <c r="F50" s="18"/>
      <c r="G50" s="18"/>
      <c r="H50" s="18"/>
      <c r="I50" s="18"/>
      <c r="J50" s="18"/>
      <c r="K50" s="19">
        <f t="shared" si="3"/>
        <v>0</v>
      </c>
      <c r="L50" s="20">
        <v>150</v>
      </c>
      <c r="M50" s="14">
        <f t="shared" si="1"/>
        <v>0</v>
      </c>
      <c r="N50" s="1"/>
    </row>
    <row r="51" spans="1:14" ht="15.75" hidden="1" thickBot="1" x14ac:dyDescent="0.3">
      <c r="A51" s="15">
        <f t="shared" si="2"/>
        <v>38</v>
      </c>
      <c r="B51" s="16" t="s">
        <v>61</v>
      </c>
      <c r="C51" s="17" t="s">
        <v>21</v>
      </c>
      <c r="D51" s="18"/>
      <c r="E51" s="18"/>
      <c r="F51" s="18"/>
      <c r="G51" s="18"/>
      <c r="H51" s="18"/>
      <c r="I51" s="18"/>
      <c r="J51" s="18"/>
      <c r="K51" s="19">
        <f t="shared" si="3"/>
        <v>0</v>
      </c>
      <c r="L51" s="20">
        <v>48</v>
      </c>
      <c r="M51" s="14">
        <f t="shared" si="1"/>
        <v>0</v>
      </c>
      <c r="N51" s="1"/>
    </row>
    <row r="52" spans="1:14" ht="15.75" thickBot="1" x14ac:dyDescent="0.3">
      <c r="A52" s="15">
        <f t="shared" si="2"/>
        <v>39</v>
      </c>
      <c r="B52" s="16" t="s">
        <v>62</v>
      </c>
      <c r="C52" s="17" t="s">
        <v>21</v>
      </c>
      <c r="D52" s="18"/>
      <c r="E52" s="18"/>
      <c r="F52" s="18"/>
      <c r="G52" s="18"/>
      <c r="H52" s="18"/>
      <c r="I52" s="18">
        <v>0.5</v>
      </c>
      <c r="J52" s="18"/>
      <c r="K52" s="19">
        <f t="shared" si="3"/>
        <v>0.5</v>
      </c>
      <c r="L52" s="20">
        <v>150</v>
      </c>
      <c r="M52" s="14">
        <f t="shared" si="1"/>
        <v>75</v>
      </c>
      <c r="N52" s="1"/>
    </row>
    <row r="53" spans="1:14" ht="15.75" hidden="1" thickBot="1" x14ac:dyDescent="0.3">
      <c r="A53" s="15">
        <f t="shared" si="2"/>
        <v>40</v>
      </c>
      <c r="B53" s="16" t="s">
        <v>63</v>
      </c>
      <c r="C53" s="17" t="s">
        <v>21</v>
      </c>
      <c r="D53" s="18"/>
      <c r="E53" s="18"/>
      <c r="F53" s="18"/>
      <c r="G53" s="18"/>
      <c r="H53" s="18"/>
      <c r="I53" s="18"/>
      <c r="J53" s="18"/>
      <c r="K53" s="19">
        <f t="shared" si="3"/>
        <v>0</v>
      </c>
      <c r="L53" s="20">
        <v>288</v>
      </c>
      <c r="M53" s="14">
        <f t="shared" si="1"/>
        <v>0</v>
      </c>
      <c r="N53" s="1"/>
    </row>
    <row r="54" spans="1:14" ht="15.75" hidden="1" thickBot="1" x14ac:dyDescent="0.3">
      <c r="A54" s="15">
        <f t="shared" si="2"/>
        <v>41</v>
      </c>
      <c r="B54" s="16" t="s">
        <v>64</v>
      </c>
      <c r="C54" s="17" t="s">
        <v>21</v>
      </c>
      <c r="D54" s="18"/>
      <c r="E54" s="18"/>
      <c r="F54" s="18"/>
      <c r="G54" s="18"/>
      <c r="H54" s="18"/>
      <c r="I54" s="18"/>
      <c r="J54" s="18"/>
      <c r="K54" s="19">
        <f t="shared" si="3"/>
        <v>0</v>
      </c>
      <c r="L54" s="20">
        <v>170</v>
      </c>
      <c r="M54" s="14">
        <f t="shared" si="1"/>
        <v>0</v>
      </c>
      <c r="N54" s="1"/>
    </row>
    <row r="55" spans="1:14" ht="15.75" thickBot="1" x14ac:dyDescent="0.3">
      <c r="A55" s="15">
        <f t="shared" si="2"/>
        <v>42</v>
      </c>
      <c r="B55" s="16" t="s">
        <v>65</v>
      </c>
      <c r="C55" s="17" t="s">
        <v>21</v>
      </c>
      <c r="D55" s="18"/>
      <c r="E55" s="18"/>
      <c r="F55" s="18"/>
      <c r="G55" s="18"/>
      <c r="H55" s="18"/>
      <c r="I55" s="18">
        <v>0.5</v>
      </c>
      <c r="J55" s="18"/>
      <c r="K55" s="19">
        <f t="shared" si="3"/>
        <v>0.5</v>
      </c>
      <c r="L55" s="20">
        <v>150</v>
      </c>
      <c r="M55" s="14">
        <f t="shared" si="1"/>
        <v>75</v>
      </c>
      <c r="N55" s="1"/>
    </row>
    <row r="56" spans="1:14" ht="15.75" hidden="1" thickBot="1" x14ac:dyDescent="0.3">
      <c r="A56" s="15">
        <f t="shared" si="2"/>
        <v>43</v>
      </c>
      <c r="B56" s="16" t="s">
        <v>66</v>
      </c>
      <c r="C56" s="17" t="s">
        <v>21</v>
      </c>
      <c r="D56" s="18"/>
      <c r="E56" s="18"/>
      <c r="F56" s="18"/>
      <c r="G56" s="18"/>
      <c r="H56" s="18"/>
      <c r="I56" s="18"/>
      <c r="J56" s="18"/>
      <c r="K56" s="19">
        <f t="shared" si="3"/>
        <v>0</v>
      </c>
      <c r="L56" s="20">
        <v>114</v>
      </c>
      <c r="M56" s="14">
        <f t="shared" si="1"/>
        <v>0</v>
      </c>
      <c r="N56" s="1"/>
    </row>
    <row r="57" spans="1:14" ht="15.75" hidden="1" thickBot="1" x14ac:dyDescent="0.3">
      <c r="A57" s="15">
        <f t="shared" si="2"/>
        <v>44</v>
      </c>
      <c r="B57" s="21" t="s">
        <v>67</v>
      </c>
      <c r="C57" s="17" t="s">
        <v>21</v>
      </c>
      <c r="D57" s="18"/>
      <c r="E57" s="18"/>
      <c r="F57" s="18"/>
      <c r="G57" s="18"/>
      <c r="H57" s="18"/>
      <c r="I57" s="18"/>
      <c r="J57" s="18"/>
      <c r="K57" s="19">
        <f t="shared" si="3"/>
        <v>0</v>
      </c>
      <c r="L57" s="20">
        <v>144</v>
      </c>
      <c r="M57" s="14">
        <f t="shared" si="1"/>
        <v>0</v>
      </c>
      <c r="N57" s="1"/>
    </row>
    <row r="58" spans="1:14" ht="15.75" hidden="1" thickBot="1" x14ac:dyDescent="0.3">
      <c r="A58" s="15">
        <f t="shared" si="2"/>
        <v>45</v>
      </c>
      <c r="B58" s="21" t="s">
        <v>68</v>
      </c>
      <c r="C58" s="17" t="s">
        <v>21</v>
      </c>
      <c r="D58" s="18"/>
      <c r="E58" s="18"/>
      <c r="F58" s="18"/>
      <c r="G58" s="18"/>
      <c r="H58" s="18"/>
      <c r="I58" s="18"/>
      <c r="J58" s="18"/>
      <c r="K58" s="19">
        <f t="shared" si="3"/>
        <v>0</v>
      </c>
      <c r="L58" s="20">
        <v>192</v>
      </c>
      <c r="M58" s="14">
        <f t="shared" si="1"/>
        <v>0</v>
      </c>
      <c r="N58" s="1"/>
    </row>
    <row r="59" spans="1:14" ht="15.75" hidden="1" thickBot="1" x14ac:dyDescent="0.3">
      <c r="A59" s="15">
        <f t="shared" si="2"/>
        <v>46</v>
      </c>
      <c r="B59" s="16" t="s">
        <v>69</v>
      </c>
      <c r="C59" s="17" t="s">
        <v>21</v>
      </c>
      <c r="D59" s="18"/>
      <c r="E59" s="18"/>
      <c r="F59" s="18"/>
      <c r="G59" s="18"/>
      <c r="H59" s="18"/>
      <c r="I59" s="18"/>
      <c r="J59" s="18"/>
      <c r="K59" s="19">
        <f t="shared" si="3"/>
        <v>0</v>
      </c>
      <c r="L59" s="20">
        <v>50</v>
      </c>
      <c r="M59" s="14">
        <f t="shared" si="1"/>
        <v>0</v>
      </c>
      <c r="N59" s="1"/>
    </row>
    <row r="60" spans="1:14" ht="15.75" hidden="1" thickBot="1" x14ac:dyDescent="0.3">
      <c r="A60" s="15">
        <f t="shared" si="2"/>
        <v>47</v>
      </c>
      <c r="B60" s="16" t="s">
        <v>70</v>
      </c>
      <c r="C60" s="17" t="s">
        <v>53</v>
      </c>
      <c r="D60" s="18"/>
      <c r="E60" s="18"/>
      <c r="F60" s="18"/>
      <c r="G60" s="18"/>
      <c r="H60" s="18"/>
      <c r="I60" s="18"/>
      <c r="J60" s="18"/>
      <c r="K60" s="19">
        <f t="shared" si="3"/>
        <v>0</v>
      </c>
      <c r="L60" s="20">
        <v>138</v>
      </c>
      <c r="M60" s="14">
        <f t="shared" si="1"/>
        <v>0</v>
      </c>
      <c r="N60" s="1"/>
    </row>
    <row r="61" spans="1:14" ht="15.75" hidden="1" thickBot="1" x14ac:dyDescent="0.3">
      <c r="A61" s="15">
        <f t="shared" si="2"/>
        <v>48</v>
      </c>
      <c r="B61" s="16" t="s">
        <v>71</v>
      </c>
      <c r="C61" s="17" t="s">
        <v>53</v>
      </c>
      <c r="D61" s="18"/>
      <c r="E61" s="18"/>
      <c r="F61" s="18"/>
      <c r="G61" s="18"/>
      <c r="H61" s="18"/>
      <c r="I61" s="18"/>
      <c r="J61" s="18"/>
      <c r="K61" s="19">
        <f t="shared" si="3"/>
        <v>0</v>
      </c>
      <c r="L61" s="20">
        <v>138</v>
      </c>
      <c r="M61" s="14">
        <f t="shared" si="1"/>
        <v>0</v>
      </c>
      <c r="N61" s="1"/>
    </row>
    <row r="62" spans="1:14" ht="15.75" hidden="1" thickBot="1" x14ac:dyDescent="0.3">
      <c r="A62" s="15">
        <f t="shared" si="2"/>
        <v>49</v>
      </c>
      <c r="B62" s="16" t="s">
        <v>72</v>
      </c>
      <c r="C62" s="17" t="s">
        <v>21</v>
      </c>
      <c r="D62" s="18"/>
      <c r="E62" s="18"/>
      <c r="F62" s="18"/>
      <c r="G62" s="18"/>
      <c r="H62" s="18"/>
      <c r="I62" s="18"/>
      <c r="J62" s="18"/>
      <c r="K62" s="19">
        <f t="shared" si="3"/>
        <v>0</v>
      </c>
      <c r="L62" s="20">
        <v>205</v>
      </c>
      <c r="M62" s="14">
        <f t="shared" si="1"/>
        <v>0</v>
      </c>
      <c r="N62" s="1"/>
    </row>
    <row r="63" spans="1:14" ht="15.75" hidden="1" thickBot="1" x14ac:dyDescent="0.3">
      <c r="A63" s="15">
        <f t="shared" si="2"/>
        <v>50</v>
      </c>
      <c r="B63" s="16" t="s">
        <v>73</v>
      </c>
      <c r="C63" s="17" t="s">
        <v>21</v>
      </c>
      <c r="D63" s="18"/>
      <c r="E63" s="18"/>
      <c r="F63" s="18"/>
      <c r="G63" s="18"/>
      <c r="H63" s="18"/>
      <c r="I63" s="18"/>
      <c r="J63" s="18"/>
      <c r="K63" s="19">
        <f t="shared" si="3"/>
        <v>0</v>
      </c>
      <c r="L63" s="20">
        <v>264</v>
      </c>
      <c r="M63" s="14">
        <f t="shared" si="1"/>
        <v>0</v>
      </c>
      <c r="N63" s="1"/>
    </row>
    <row r="64" spans="1:14" ht="15.75" hidden="1" thickBot="1" x14ac:dyDescent="0.3">
      <c r="A64" s="15">
        <f t="shared" si="2"/>
        <v>51</v>
      </c>
      <c r="B64" s="16" t="s">
        <v>74</v>
      </c>
      <c r="C64" s="17" t="s">
        <v>24</v>
      </c>
      <c r="D64" s="18"/>
      <c r="E64" s="18"/>
      <c r="F64" s="18"/>
      <c r="G64" s="18"/>
      <c r="H64" s="18"/>
      <c r="I64" s="18"/>
      <c r="J64" s="18"/>
      <c r="K64" s="19">
        <f t="shared" si="3"/>
        <v>0</v>
      </c>
      <c r="L64" s="20">
        <v>75</v>
      </c>
      <c r="M64" s="14">
        <f t="shared" si="1"/>
        <v>0</v>
      </c>
      <c r="N64" s="1"/>
    </row>
    <row r="65" spans="1:14" ht="15.75" hidden="1" thickBot="1" x14ac:dyDescent="0.3">
      <c r="A65" s="15">
        <f t="shared" si="2"/>
        <v>52</v>
      </c>
      <c r="B65" s="16" t="s">
        <v>75</v>
      </c>
      <c r="C65" s="17" t="s">
        <v>24</v>
      </c>
      <c r="D65" s="18"/>
      <c r="E65" s="18"/>
      <c r="F65" s="18"/>
      <c r="G65" s="18"/>
      <c r="H65" s="18"/>
      <c r="I65" s="18"/>
      <c r="J65" s="18"/>
      <c r="K65" s="19">
        <f t="shared" si="3"/>
        <v>0</v>
      </c>
      <c r="L65" s="20">
        <v>64</v>
      </c>
      <c r="M65" s="14">
        <f t="shared" si="1"/>
        <v>0</v>
      </c>
      <c r="N65" s="1"/>
    </row>
    <row r="66" spans="1:14" ht="15.75" hidden="1" thickBot="1" x14ac:dyDescent="0.3">
      <c r="A66" s="15">
        <f t="shared" si="2"/>
        <v>53</v>
      </c>
      <c r="B66" s="16" t="s">
        <v>76</v>
      </c>
      <c r="C66" s="17" t="s">
        <v>21</v>
      </c>
      <c r="D66" s="18"/>
      <c r="E66" s="18"/>
      <c r="F66" s="18"/>
      <c r="G66" s="18"/>
      <c r="H66" s="18"/>
      <c r="I66" s="18"/>
      <c r="J66" s="18"/>
      <c r="K66" s="19">
        <f t="shared" si="3"/>
        <v>0</v>
      </c>
      <c r="L66" s="20">
        <v>40.5</v>
      </c>
      <c r="M66" s="14">
        <f t="shared" si="1"/>
        <v>0</v>
      </c>
      <c r="N66" s="1"/>
    </row>
    <row r="67" spans="1:14" ht="15.75" hidden="1" thickBot="1" x14ac:dyDescent="0.3">
      <c r="A67" s="15">
        <f t="shared" si="2"/>
        <v>54</v>
      </c>
      <c r="B67" s="16" t="s">
        <v>77</v>
      </c>
      <c r="C67" s="17" t="s">
        <v>21</v>
      </c>
      <c r="D67" s="18"/>
      <c r="E67" s="18"/>
      <c r="F67" s="18"/>
      <c r="G67" s="18"/>
      <c r="H67" s="18"/>
      <c r="I67" s="18"/>
      <c r="J67" s="18"/>
      <c r="K67" s="19">
        <f t="shared" si="3"/>
        <v>0</v>
      </c>
      <c r="L67" s="20">
        <v>160</v>
      </c>
      <c r="M67" s="14">
        <f t="shared" si="1"/>
        <v>0</v>
      </c>
      <c r="N67" s="1"/>
    </row>
    <row r="68" spans="1:14" ht="15.75" hidden="1" thickBot="1" x14ac:dyDescent="0.3">
      <c r="A68" s="15">
        <f t="shared" si="2"/>
        <v>55</v>
      </c>
      <c r="B68" s="16" t="s">
        <v>78</v>
      </c>
      <c r="C68" s="17" t="s">
        <v>79</v>
      </c>
      <c r="D68" s="18"/>
      <c r="E68" s="18"/>
      <c r="F68" s="18"/>
      <c r="G68" s="18"/>
      <c r="H68" s="18"/>
      <c r="I68" s="18"/>
      <c r="J68" s="18"/>
      <c r="K68" s="19">
        <f t="shared" si="3"/>
        <v>0</v>
      </c>
      <c r="L68" s="20">
        <v>65</v>
      </c>
      <c r="M68" s="14">
        <f t="shared" si="1"/>
        <v>0</v>
      </c>
      <c r="N68" s="1"/>
    </row>
    <row r="69" spans="1:14" ht="15.75" hidden="1" thickBot="1" x14ac:dyDescent="0.3">
      <c r="A69" s="15">
        <f t="shared" si="2"/>
        <v>56</v>
      </c>
      <c r="B69" s="16" t="s">
        <v>80</v>
      </c>
      <c r="C69" s="17" t="s">
        <v>21</v>
      </c>
      <c r="D69" s="18"/>
      <c r="E69" s="18"/>
      <c r="F69" s="18"/>
      <c r="G69" s="18"/>
      <c r="H69" s="18"/>
      <c r="I69" s="18"/>
      <c r="J69" s="18"/>
      <c r="K69" s="19">
        <f t="shared" si="3"/>
        <v>0</v>
      </c>
      <c r="L69" s="20">
        <v>85</v>
      </c>
      <c r="M69" s="14">
        <f t="shared" si="1"/>
        <v>0</v>
      </c>
      <c r="N69" s="1"/>
    </row>
    <row r="70" spans="1:14" ht="15.75" hidden="1" thickBot="1" x14ac:dyDescent="0.3">
      <c r="A70" s="15">
        <f t="shared" si="2"/>
        <v>57</v>
      </c>
      <c r="B70" s="16" t="s">
        <v>81</v>
      </c>
      <c r="C70" s="17" t="s">
        <v>21</v>
      </c>
      <c r="D70" s="18"/>
      <c r="E70" s="18"/>
      <c r="F70" s="18"/>
      <c r="G70" s="18"/>
      <c r="H70" s="18"/>
      <c r="I70" s="18"/>
      <c r="J70" s="18"/>
      <c r="K70" s="19">
        <f t="shared" si="3"/>
        <v>0</v>
      </c>
      <c r="L70" s="20">
        <v>85</v>
      </c>
      <c r="M70" s="14">
        <f t="shared" si="1"/>
        <v>0</v>
      </c>
      <c r="N70" s="1"/>
    </row>
    <row r="71" spans="1:14" ht="15.75" thickBot="1" x14ac:dyDescent="0.3">
      <c r="A71" s="15">
        <f t="shared" si="2"/>
        <v>58</v>
      </c>
      <c r="B71" s="16" t="s">
        <v>82</v>
      </c>
      <c r="C71" s="17" t="s">
        <v>21</v>
      </c>
      <c r="D71" s="18"/>
      <c r="E71" s="18"/>
      <c r="F71" s="18"/>
      <c r="G71" s="18"/>
      <c r="H71" s="18"/>
      <c r="I71" s="18">
        <v>2</v>
      </c>
      <c r="J71" s="18"/>
      <c r="K71" s="19">
        <f t="shared" si="3"/>
        <v>2</v>
      </c>
      <c r="L71" s="20">
        <v>32</v>
      </c>
      <c r="M71" s="14">
        <f t="shared" si="1"/>
        <v>64</v>
      </c>
      <c r="N71" s="1"/>
    </row>
    <row r="72" spans="1:14" ht="15.75" hidden="1" thickBot="1" x14ac:dyDescent="0.3">
      <c r="A72" s="15">
        <f t="shared" si="2"/>
        <v>59</v>
      </c>
      <c r="B72" s="16" t="s">
        <v>83</v>
      </c>
      <c r="C72" s="17" t="s">
        <v>21</v>
      </c>
      <c r="D72" s="18"/>
      <c r="E72" s="18"/>
      <c r="F72" s="18"/>
      <c r="G72" s="18"/>
      <c r="H72" s="18"/>
      <c r="I72" s="18"/>
      <c r="J72" s="18"/>
      <c r="K72" s="19">
        <f t="shared" si="3"/>
        <v>0</v>
      </c>
      <c r="L72" s="20">
        <v>66</v>
      </c>
      <c r="M72" s="14">
        <f t="shared" si="1"/>
        <v>0</v>
      </c>
      <c r="N72" s="1"/>
    </row>
    <row r="73" spans="1:14" ht="15.75" hidden="1" thickBot="1" x14ac:dyDescent="0.3">
      <c r="A73" s="15">
        <f t="shared" si="2"/>
        <v>60</v>
      </c>
      <c r="B73" s="16" t="s">
        <v>84</v>
      </c>
      <c r="C73" s="17" t="s">
        <v>21</v>
      </c>
      <c r="D73" s="18"/>
      <c r="E73" s="18"/>
      <c r="F73" s="18"/>
      <c r="G73" s="18"/>
      <c r="H73" s="18"/>
      <c r="I73" s="18"/>
      <c r="J73" s="18"/>
      <c r="K73" s="19">
        <f t="shared" si="3"/>
        <v>0</v>
      </c>
      <c r="L73" s="20">
        <v>95</v>
      </c>
      <c r="M73" s="14">
        <f t="shared" si="1"/>
        <v>0</v>
      </c>
      <c r="N73" s="1"/>
    </row>
    <row r="74" spans="1:14" ht="15.75" hidden="1" thickBot="1" x14ac:dyDescent="0.3">
      <c r="A74" s="15">
        <f t="shared" si="2"/>
        <v>61</v>
      </c>
      <c r="B74" s="16" t="s">
        <v>85</v>
      </c>
      <c r="C74" s="17" t="s">
        <v>86</v>
      </c>
      <c r="D74" s="18"/>
      <c r="E74" s="18"/>
      <c r="F74" s="18"/>
      <c r="G74" s="18"/>
      <c r="H74" s="18"/>
      <c r="I74" s="18"/>
      <c r="J74" s="18"/>
      <c r="K74" s="19">
        <f t="shared" si="3"/>
        <v>0</v>
      </c>
      <c r="L74" s="20">
        <v>420</v>
      </c>
      <c r="M74" s="14">
        <f t="shared" si="1"/>
        <v>0</v>
      </c>
      <c r="N74" s="1"/>
    </row>
    <row r="75" spans="1:14" ht="15.75" hidden="1" thickBot="1" x14ac:dyDescent="0.3">
      <c r="A75" s="15">
        <f t="shared" si="2"/>
        <v>62</v>
      </c>
      <c r="B75" s="16" t="s">
        <v>87</v>
      </c>
      <c r="C75" s="17" t="s">
        <v>88</v>
      </c>
      <c r="D75" s="18"/>
      <c r="E75" s="18"/>
      <c r="F75" s="18"/>
      <c r="G75" s="18"/>
      <c r="H75" s="18"/>
      <c r="I75" s="18"/>
      <c r="J75" s="18"/>
      <c r="K75" s="19">
        <f t="shared" si="3"/>
        <v>0</v>
      </c>
      <c r="L75" s="20">
        <v>287</v>
      </c>
      <c r="M75" s="14">
        <f t="shared" si="1"/>
        <v>0</v>
      </c>
      <c r="N75" s="1"/>
    </row>
    <row r="76" spans="1:14" ht="15.75" hidden="1" thickBot="1" x14ac:dyDescent="0.3">
      <c r="A76" s="15">
        <f t="shared" si="2"/>
        <v>63</v>
      </c>
      <c r="B76" s="16" t="s">
        <v>89</v>
      </c>
      <c r="C76" s="17" t="s">
        <v>88</v>
      </c>
      <c r="D76" s="18"/>
      <c r="E76" s="18"/>
      <c r="F76" s="18"/>
      <c r="G76" s="18"/>
      <c r="H76" s="18"/>
      <c r="I76" s="18"/>
      <c r="J76" s="18"/>
      <c r="K76" s="19">
        <f t="shared" si="3"/>
        <v>0</v>
      </c>
      <c r="L76" s="20">
        <v>287</v>
      </c>
      <c r="M76" s="14">
        <f t="shared" si="1"/>
        <v>0</v>
      </c>
      <c r="N76" s="1"/>
    </row>
    <row r="77" spans="1:14" ht="15.75" hidden="1" thickBot="1" x14ac:dyDescent="0.3">
      <c r="A77" s="15">
        <f t="shared" si="2"/>
        <v>64</v>
      </c>
      <c r="B77" s="16" t="s">
        <v>90</v>
      </c>
      <c r="C77" s="17" t="s">
        <v>91</v>
      </c>
      <c r="D77" s="18"/>
      <c r="E77" s="18"/>
      <c r="F77" s="18"/>
      <c r="G77" s="18"/>
      <c r="H77" s="18"/>
      <c r="I77" s="18"/>
      <c r="J77" s="18"/>
      <c r="K77" s="19">
        <f t="shared" si="3"/>
        <v>0</v>
      </c>
      <c r="L77" s="20">
        <v>50</v>
      </c>
      <c r="M77" s="14">
        <f t="shared" si="1"/>
        <v>0</v>
      </c>
      <c r="N77" s="1"/>
    </row>
    <row r="78" spans="1:14" ht="15.75" hidden="1" thickBot="1" x14ac:dyDescent="0.3">
      <c r="A78" s="15">
        <f t="shared" si="2"/>
        <v>65</v>
      </c>
      <c r="B78" s="16" t="s">
        <v>92</v>
      </c>
      <c r="C78" s="17" t="s">
        <v>21</v>
      </c>
      <c r="D78" s="18"/>
      <c r="E78" s="18"/>
      <c r="F78" s="18"/>
      <c r="G78" s="18"/>
      <c r="H78" s="18"/>
      <c r="I78" s="18"/>
      <c r="J78" s="18"/>
      <c r="K78" s="19">
        <f t="shared" si="3"/>
        <v>0</v>
      </c>
      <c r="L78" s="20">
        <v>37</v>
      </c>
      <c r="M78" s="14">
        <f t="shared" si="1"/>
        <v>0</v>
      </c>
      <c r="N78" s="1"/>
    </row>
    <row r="79" spans="1:14" ht="15.75" hidden="1" thickBot="1" x14ac:dyDescent="0.3">
      <c r="A79" s="15">
        <f t="shared" si="2"/>
        <v>66</v>
      </c>
      <c r="B79" s="16" t="s">
        <v>93</v>
      </c>
      <c r="C79" s="17" t="s">
        <v>21</v>
      </c>
      <c r="D79" s="18"/>
      <c r="E79" s="18"/>
      <c r="F79" s="18"/>
      <c r="G79" s="18"/>
      <c r="H79" s="18"/>
      <c r="I79" s="18"/>
      <c r="J79" s="18"/>
      <c r="K79" s="19">
        <f t="shared" ref="K79:K111" si="4">SUM(D79:J79)</f>
        <v>0</v>
      </c>
      <c r="L79" s="20">
        <v>30</v>
      </c>
      <c r="M79" s="14">
        <f t="shared" ref="M79:M141" si="5">K79*L79</f>
        <v>0</v>
      </c>
      <c r="N79" s="1"/>
    </row>
    <row r="80" spans="1:14" ht="15.75" hidden="1" thickBot="1" x14ac:dyDescent="0.3">
      <c r="A80" s="15">
        <f t="shared" ref="A80:A141" si="6">A79+1</f>
        <v>67</v>
      </c>
      <c r="B80" s="16" t="s">
        <v>94</v>
      </c>
      <c r="C80" s="17" t="s">
        <v>21</v>
      </c>
      <c r="D80" s="18"/>
      <c r="E80" s="18"/>
      <c r="F80" s="18"/>
      <c r="G80" s="18"/>
      <c r="H80" s="18"/>
      <c r="I80" s="18"/>
      <c r="J80" s="18"/>
      <c r="K80" s="19">
        <f t="shared" si="4"/>
        <v>0</v>
      </c>
      <c r="L80" s="20">
        <v>32</v>
      </c>
      <c r="M80" s="14">
        <f t="shared" si="5"/>
        <v>0</v>
      </c>
      <c r="N80" s="1"/>
    </row>
    <row r="81" spans="1:14" ht="15.75" hidden="1" thickBot="1" x14ac:dyDescent="0.3">
      <c r="A81" s="15">
        <f t="shared" si="6"/>
        <v>68</v>
      </c>
      <c r="B81" s="16" t="s">
        <v>95</v>
      </c>
      <c r="C81" s="17" t="s">
        <v>21</v>
      </c>
      <c r="D81" s="18"/>
      <c r="E81" s="18"/>
      <c r="F81" s="18"/>
      <c r="G81" s="18"/>
      <c r="H81" s="18"/>
      <c r="I81" s="18"/>
      <c r="J81" s="18"/>
      <c r="K81" s="19">
        <f t="shared" si="4"/>
        <v>0</v>
      </c>
      <c r="L81" s="20">
        <v>33</v>
      </c>
      <c r="M81" s="14">
        <f t="shared" si="5"/>
        <v>0</v>
      </c>
      <c r="N81" s="1"/>
    </row>
    <row r="82" spans="1:14" ht="15.75" hidden="1" thickBot="1" x14ac:dyDescent="0.3">
      <c r="A82" s="15">
        <f t="shared" si="6"/>
        <v>69</v>
      </c>
      <c r="B82" s="16" t="s">
        <v>96</v>
      </c>
      <c r="C82" s="17" t="s">
        <v>21</v>
      </c>
      <c r="D82" s="18"/>
      <c r="E82" s="18"/>
      <c r="F82" s="18"/>
      <c r="G82" s="18"/>
      <c r="H82" s="18"/>
      <c r="I82" s="18"/>
      <c r="J82" s="18"/>
      <c r="K82" s="19">
        <f t="shared" si="4"/>
        <v>0</v>
      </c>
      <c r="L82" s="20">
        <v>32</v>
      </c>
      <c r="M82" s="14">
        <f t="shared" si="5"/>
        <v>0</v>
      </c>
      <c r="N82" s="1"/>
    </row>
    <row r="83" spans="1:14" ht="15.75" thickBot="1" x14ac:dyDescent="0.3">
      <c r="A83" s="15">
        <f t="shared" si="6"/>
        <v>70</v>
      </c>
      <c r="B83" s="16" t="s">
        <v>97</v>
      </c>
      <c r="C83" s="17" t="s">
        <v>21</v>
      </c>
      <c r="D83" s="18"/>
      <c r="E83" s="18"/>
      <c r="F83" s="18"/>
      <c r="G83" s="18"/>
      <c r="H83" s="18"/>
      <c r="I83" s="18">
        <v>25</v>
      </c>
      <c r="J83" s="18"/>
      <c r="K83" s="19">
        <f t="shared" si="4"/>
        <v>25</v>
      </c>
      <c r="L83" s="20">
        <v>26</v>
      </c>
      <c r="M83" s="14">
        <f t="shared" si="5"/>
        <v>650</v>
      </c>
      <c r="N83" s="1"/>
    </row>
    <row r="84" spans="1:14" ht="15.75" hidden="1" thickBot="1" x14ac:dyDescent="0.3">
      <c r="A84" s="15">
        <f t="shared" si="6"/>
        <v>71</v>
      </c>
      <c r="B84" s="16" t="s">
        <v>98</v>
      </c>
      <c r="C84" s="17" t="s">
        <v>21</v>
      </c>
      <c r="D84" s="18"/>
      <c r="E84" s="18"/>
      <c r="F84" s="18"/>
      <c r="G84" s="18"/>
      <c r="H84" s="18"/>
      <c r="I84" s="18"/>
      <c r="J84" s="18"/>
      <c r="K84" s="19">
        <f t="shared" si="4"/>
        <v>0</v>
      </c>
      <c r="L84" s="20">
        <v>36</v>
      </c>
      <c r="M84" s="14">
        <f t="shared" si="5"/>
        <v>0</v>
      </c>
      <c r="N84" s="1"/>
    </row>
    <row r="85" spans="1:14" ht="15.75" hidden="1" thickBot="1" x14ac:dyDescent="0.3">
      <c r="A85" s="15">
        <f t="shared" si="6"/>
        <v>72</v>
      </c>
      <c r="B85" s="16" t="s">
        <v>99</v>
      </c>
      <c r="C85" s="17" t="s">
        <v>91</v>
      </c>
      <c r="D85" s="18"/>
      <c r="E85" s="18"/>
      <c r="F85" s="18"/>
      <c r="G85" s="18"/>
      <c r="H85" s="18"/>
      <c r="I85" s="18"/>
      <c r="J85" s="18"/>
      <c r="K85" s="19">
        <f t="shared" si="4"/>
        <v>0</v>
      </c>
      <c r="L85" s="20">
        <v>58</v>
      </c>
      <c r="M85" s="14">
        <f t="shared" si="5"/>
        <v>0</v>
      </c>
      <c r="N85" s="1"/>
    </row>
    <row r="86" spans="1:14" ht="15.75" hidden="1" thickBot="1" x14ac:dyDescent="0.3">
      <c r="A86" s="15">
        <f t="shared" si="6"/>
        <v>73</v>
      </c>
      <c r="B86" s="16" t="s">
        <v>100</v>
      </c>
      <c r="C86" s="17" t="s">
        <v>101</v>
      </c>
      <c r="D86" s="18"/>
      <c r="E86" s="18"/>
      <c r="F86" s="18"/>
      <c r="G86" s="18"/>
      <c r="H86" s="18"/>
      <c r="I86" s="18"/>
      <c r="J86" s="18"/>
      <c r="K86" s="19">
        <f t="shared" si="4"/>
        <v>0</v>
      </c>
      <c r="L86" s="20">
        <v>420</v>
      </c>
      <c r="M86" s="14">
        <f t="shared" si="5"/>
        <v>0</v>
      </c>
      <c r="N86" s="1"/>
    </row>
    <row r="87" spans="1:14" ht="15.75" hidden="1" thickBot="1" x14ac:dyDescent="0.3">
      <c r="A87" s="15">
        <f t="shared" si="6"/>
        <v>74</v>
      </c>
      <c r="B87" s="16" t="s">
        <v>102</v>
      </c>
      <c r="C87" s="17" t="s">
        <v>21</v>
      </c>
      <c r="D87" s="18"/>
      <c r="E87" s="18"/>
      <c r="F87" s="18"/>
      <c r="G87" s="18"/>
      <c r="H87" s="18"/>
      <c r="I87" s="18"/>
      <c r="J87" s="18"/>
      <c r="K87" s="19">
        <f t="shared" si="4"/>
        <v>0</v>
      </c>
      <c r="L87" s="20">
        <v>54</v>
      </c>
      <c r="M87" s="14">
        <f t="shared" si="5"/>
        <v>0</v>
      </c>
      <c r="N87" s="1"/>
    </row>
    <row r="88" spans="1:14" ht="15.75" hidden="1" thickBot="1" x14ac:dyDescent="0.3">
      <c r="A88" s="15">
        <f t="shared" si="6"/>
        <v>75</v>
      </c>
      <c r="B88" s="16" t="s">
        <v>103</v>
      </c>
      <c r="C88" s="17" t="s">
        <v>21</v>
      </c>
      <c r="D88" s="18"/>
      <c r="E88" s="18"/>
      <c r="F88" s="18"/>
      <c r="G88" s="18"/>
      <c r="H88" s="18"/>
      <c r="I88" s="18"/>
      <c r="J88" s="18"/>
      <c r="K88" s="19">
        <f t="shared" si="4"/>
        <v>0</v>
      </c>
      <c r="L88" s="20">
        <v>54</v>
      </c>
      <c r="M88" s="14">
        <f t="shared" si="5"/>
        <v>0</v>
      </c>
      <c r="N88" s="1"/>
    </row>
    <row r="89" spans="1:14" ht="15.75" hidden="1" thickBot="1" x14ac:dyDescent="0.3">
      <c r="A89" s="15">
        <f t="shared" si="6"/>
        <v>76</v>
      </c>
      <c r="B89" s="16" t="s">
        <v>104</v>
      </c>
      <c r="C89" s="17" t="s">
        <v>21</v>
      </c>
      <c r="D89" s="18"/>
      <c r="E89" s="18"/>
      <c r="F89" s="18"/>
      <c r="G89" s="18"/>
      <c r="H89" s="18"/>
      <c r="I89" s="18"/>
      <c r="J89" s="18"/>
      <c r="K89" s="19">
        <f t="shared" si="4"/>
        <v>0</v>
      </c>
      <c r="L89" s="20">
        <v>225</v>
      </c>
      <c r="M89" s="14">
        <f t="shared" si="5"/>
        <v>0</v>
      </c>
      <c r="N89" s="1"/>
    </row>
    <row r="90" spans="1:14" ht="15.75" hidden="1" thickBot="1" x14ac:dyDescent="0.3">
      <c r="A90" s="15">
        <f t="shared" si="6"/>
        <v>77</v>
      </c>
      <c r="B90" s="16" t="s">
        <v>105</v>
      </c>
      <c r="C90" s="17" t="s">
        <v>21</v>
      </c>
      <c r="D90" s="18"/>
      <c r="E90" s="18"/>
      <c r="F90" s="18"/>
      <c r="G90" s="18"/>
      <c r="H90" s="18"/>
      <c r="I90" s="18"/>
      <c r="J90" s="18"/>
      <c r="K90" s="19">
        <f t="shared" si="4"/>
        <v>0</v>
      </c>
      <c r="L90" s="20">
        <v>54</v>
      </c>
      <c r="M90" s="14">
        <f t="shared" si="5"/>
        <v>0</v>
      </c>
      <c r="N90" s="1"/>
    </row>
    <row r="91" spans="1:14" ht="15.75" hidden="1" thickBot="1" x14ac:dyDescent="0.3">
      <c r="A91" s="15">
        <f t="shared" si="6"/>
        <v>78</v>
      </c>
      <c r="B91" s="16" t="s">
        <v>106</v>
      </c>
      <c r="C91" s="17" t="s">
        <v>24</v>
      </c>
      <c r="D91" s="18"/>
      <c r="E91" s="18"/>
      <c r="F91" s="18"/>
      <c r="G91" s="18"/>
      <c r="H91" s="18"/>
      <c r="I91" s="18"/>
      <c r="J91" s="18"/>
      <c r="K91" s="19">
        <f t="shared" si="4"/>
        <v>0</v>
      </c>
      <c r="L91" s="20">
        <v>42</v>
      </c>
      <c r="M91" s="14">
        <f t="shared" si="5"/>
        <v>0</v>
      </c>
      <c r="N91" s="1"/>
    </row>
    <row r="92" spans="1:14" ht="15.75" hidden="1" thickBot="1" x14ac:dyDescent="0.3">
      <c r="A92" s="15">
        <f t="shared" si="6"/>
        <v>79</v>
      </c>
      <c r="B92" s="16" t="s">
        <v>107</v>
      </c>
      <c r="C92" s="17" t="s">
        <v>24</v>
      </c>
      <c r="D92" s="18"/>
      <c r="E92" s="18"/>
      <c r="F92" s="18"/>
      <c r="G92" s="18"/>
      <c r="H92" s="18"/>
      <c r="I92" s="18"/>
      <c r="J92" s="18"/>
      <c r="K92" s="19">
        <f t="shared" si="4"/>
        <v>0</v>
      </c>
      <c r="L92" s="20">
        <v>228</v>
      </c>
      <c r="M92" s="14">
        <f t="shared" si="5"/>
        <v>0</v>
      </c>
      <c r="N92" s="1"/>
    </row>
    <row r="93" spans="1:14" ht="15.75" hidden="1" thickBot="1" x14ac:dyDescent="0.3">
      <c r="A93" s="15">
        <f t="shared" si="6"/>
        <v>80</v>
      </c>
      <c r="B93" s="16" t="s">
        <v>108</v>
      </c>
      <c r="C93" s="17" t="s">
        <v>21</v>
      </c>
      <c r="D93" s="18"/>
      <c r="E93" s="18"/>
      <c r="F93" s="18"/>
      <c r="G93" s="18"/>
      <c r="H93" s="18"/>
      <c r="I93" s="18"/>
      <c r="J93" s="18"/>
      <c r="K93" s="19">
        <f t="shared" si="4"/>
        <v>0</v>
      </c>
      <c r="L93" s="20">
        <v>82</v>
      </c>
      <c r="M93" s="14">
        <f t="shared" si="5"/>
        <v>0</v>
      </c>
      <c r="N93" s="1"/>
    </row>
    <row r="94" spans="1:14" ht="15.75" hidden="1" thickBot="1" x14ac:dyDescent="0.3">
      <c r="A94" s="15">
        <f t="shared" si="6"/>
        <v>81</v>
      </c>
      <c r="B94" s="16" t="s">
        <v>109</v>
      </c>
      <c r="C94" s="17" t="s">
        <v>24</v>
      </c>
      <c r="D94" s="18"/>
      <c r="E94" s="18"/>
      <c r="F94" s="18"/>
      <c r="G94" s="18"/>
      <c r="H94" s="18"/>
      <c r="I94" s="18"/>
      <c r="J94" s="18"/>
      <c r="K94" s="19">
        <f t="shared" si="4"/>
        <v>0</v>
      </c>
      <c r="L94" s="20">
        <v>24</v>
      </c>
      <c r="M94" s="14">
        <f t="shared" si="5"/>
        <v>0</v>
      </c>
      <c r="N94" s="1"/>
    </row>
    <row r="95" spans="1:14" ht="15.75" hidden="1" thickBot="1" x14ac:dyDescent="0.3">
      <c r="A95" s="15">
        <f t="shared" si="6"/>
        <v>82</v>
      </c>
      <c r="B95" s="16" t="s">
        <v>110</v>
      </c>
      <c r="C95" s="17" t="s">
        <v>24</v>
      </c>
      <c r="D95" s="18"/>
      <c r="E95" s="18"/>
      <c r="F95" s="18"/>
      <c r="G95" s="18"/>
      <c r="H95" s="18"/>
      <c r="I95" s="18"/>
      <c r="J95" s="18"/>
      <c r="K95" s="19">
        <f t="shared" si="4"/>
        <v>0</v>
      </c>
      <c r="L95" s="20">
        <v>34</v>
      </c>
      <c r="M95" s="14">
        <f t="shared" si="5"/>
        <v>0</v>
      </c>
      <c r="N95" s="1"/>
    </row>
    <row r="96" spans="1:14" ht="15.75" hidden="1" thickBot="1" x14ac:dyDescent="0.3">
      <c r="A96" s="15">
        <f t="shared" si="6"/>
        <v>83</v>
      </c>
      <c r="B96" s="16" t="s">
        <v>111</v>
      </c>
      <c r="C96" s="17" t="s">
        <v>112</v>
      </c>
      <c r="D96" s="18"/>
      <c r="E96" s="18"/>
      <c r="F96" s="18"/>
      <c r="G96" s="18"/>
      <c r="H96" s="18"/>
      <c r="I96" s="18"/>
      <c r="J96" s="18"/>
      <c r="K96" s="19">
        <f t="shared" si="4"/>
        <v>0</v>
      </c>
      <c r="L96" s="20">
        <v>900</v>
      </c>
      <c r="M96" s="14">
        <f t="shared" si="5"/>
        <v>0</v>
      </c>
      <c r="N96" s="1"/>
    </row>
    <row r="97" spans="1:14" ht="15.75" hidden="1" thickBot="1" x14ac:dyDescent="0.3">
      <c r="A97" s="15">
        <f t="shared" si="6"/>
        <v>84</v>
      </c>
      <c r="B97" s="16" t="s">
        <v>113</v>
      </c>
      <c r="C97" s="17" t="s">
        <v>114</v>
      </c>
      <c r="D97" s="18"/>
      <c r="E97" s="18"/>
      <c r="F97" s="18"/>
      <c r="G97" s="18"/>
      <c r="H97" s="18"/>
      <c r="I97" s="18"/>
      <c r="J97" s="18"/>
      <c r="K97" s="19">
        <f t="shared" si="4"/>
        <v>0</v>
      </c>
      <c r="L97" s="20">
        <v>230</v>
      </c>
      <c r="M97" s="14">
        <f t="shared" si="5"/>
        <v>0</v>
      </c>
      <c r="N97" s="1"/>
    </row>
    <row r="98" spans="1:14" ht="15.75" hidden="1" thickBot="1" x14ac:dyDescent="0.3">
      <c r="A98" s="15">
        <f t="shared" si="6"/>
        <v>85</v>
      </c>
      <c r="B98" s="16" t="s">
        <v>115</v>
      </c>
      <c r="C98" s="17" t="s">
        <v>21</v>
      </c>
      <c r="D98" s="18"/>
      <c r="E98" s="18"/>
      <c r="F98" s="18"/>
      <c r="G98" s="18"/>
      <c r="H98" s="18"/>
      <c r="I98" s="18"/>
      <c r="J98" s="18"/>
      <c r="K98" s="19">
        <f t="shared" si="4"/>
        <v>0</v>
      </c>
      <c r="L98" s="20">
        <v>300</v>
      </c>
      <c r="M98" s="14">
        <f t="shared" si="5"/>
        <v>0</v>
      </c>
      <c r="N98" s="1"/>
    </row>
    <row r="99" spans="1:14" ht="15.75" hidden="1" thickBot="1" x14ac:dyDescent="0.3">
      <c r="A99" s="15">
        <f t="shared" si="6"/>
        <v>86</v>
      </c>
      <c r="B99" s="16" t="s">
        <v>116</v>
      </c>
      <c r="C99" s="17" t="s">
        <v>21</v>
      </c>
      <c r="D99" s="18"/>
      <c r="E99" s="18"/>
      <c r="F99" s="18"/>
      <c r="G99" s="18"/>
      <c r="H99" s="18"/>
      <c r="I99" s="18"/>
      <c r="J99" s="18"/>
      <c r="K99" s="19">
        <f t="shared" si="4"/>
        <v>0</v>
      </c>
      <c r="L99" s="20">
        <v>120</v>
      </c>
      <c r="M99" s="14">
        <f t="shared" si="5"/>
        <v>0</v>
      </c>
      <c r="N99" s="1"/>
    </row>
    <row r="100" spans="1:14" ht="15.75" thickBot="1" x14ac:dyDescent="0.3">
      <c r="A100" s="15">
        <f t="shared" si="6"/>
        <v>87</v>
      </c>
      <c r="B100" s="16" t="s">
        <v>117</v>
      </c>
      <c r="C100" s="17" t="s">
        <v>118</v>
      </c>
      <c r="D100" s="18"/>
      <c r="E100" s="18"/>
      <c r="F100" s="18"/>
      <c r="G100" s="18"/>
      <c r="H100" s="18"/>
      <c r="I100" s="18">
        <v>25</v>
      </c>
      <c r="J100" s="18"/>
      <c r="K100" s="19">
        <f t="shared" si="4"/>
        <v>25</v>
      </c>
      <c r="L100" s="20">
        <v>40</v>
      </c>
      <c r="M100" s="14">
        <f t="shared" si="5"/>
        <v>1000</v>
      </c>
      <c r="N100" s="1"/>
    </row>
    <row r="101" spans="1:14" ht="15.75" hidden="1" thickBot="1" x14ac:dyDescent="0.3">
      <c r="A101" s="15">
        <f t="shared" si="6"/>
        <v>88</v>
      </c>
      <c r="B101" s="16" t="s">
        <v>119</v>
      </c>
      <c r="C101" s="17" t="s">
        <v>21</v>
      </c>
      <c r="D101" s="18"/>
      <c r="E101" s="18"/>
      <c r="F101" s="18"/>
      <c r="G101" s="18"/>
      <c r="H101" s="18"/>
      <c r="I101" s="18"/>
      <c r="J101" s="18"/>
      <c r="K101" s="19">
        <f t="shared" si="4"/>
        <v>0</v>
      </c>
      <c r="L101" s="20">
        <v>240</v>
      </c>
      <c r="M101" s="14">
        <f t="shared" si="5"/>
        <v>0</v>
      </c>
      <c r="N101" s="1"/>
    </row>
    <row r="102" spans="1:14" ht="15.75" thickBot="1" x14ac:dyDescent="0.3">
      <c r="A102" s="15">
        <f t="shared" si="6"/>
        <v>89</v>
      </c>
      <c r="B102" s="16" t="s">
        <v>120</v>
      </c>
      <c r="C102" s="17" t="s">
        <v>21</v>
      </c>
      <c r="D102" s="18"/>
      <c r="E102" s="18"/>
      <c r="F102" s="18"/>
      <c r="G102" s="18"/>
      <c r="H102" s="18"/>
      <c r="I102" s="18">
        <v>1</v>
      </c>
      <c r="J102" s="18"/>
      <c r="K102" s="19">
        <f t="shared" si="4"/>
        <v>1</v>
      </c>
      <c r="L102" s="20">
        <v>186</v>
      </c>
      <c r="M102" s="14">
        <f t="shared" si="5"/>
        <v>186</v>
      </c>
      <c r="N102" s="1"/>
    </row>
    <row r="103" spans="1:14" ht="15.75" hidden="1" thickBot="1" x14ac:dyDescent="0.3">
      <c r="A103" s="15">
        <f t="shared" si="6"/>
        <v>90</v>
      </c>
      <c r="B103" s="16" t="s">
        <v>121</v>
      </c>
      <c r="C103" s="17" t="s">
        <v>21</v>
      </c>
      <c r="D103" s="18"/>
      <c r="E103" s="18"/>
      <c r="F103" s="18"/>
      <c r="G103" s="18"/>
      <c r="H103" s="18"/>
      <c r="I103" s="18"/>
      <c r="J103" s="18"/>
      <c r="K103" s="19">
        <f t="shared" si="4"/>
        <v>0</v>
      </c>
      <c r="L103" s="20">
        <v>144</v>
      </c>
      <c r="M103" s="14">
        <f t="shared" si="5"/>
        <v>0</v>
      </c>
      <c r="N103" s="1"/>
    </row>
    <row r="104" spans="1:14" ht="15.75" hidden="1" thickBot="1" x14ac:dyDescent="0.3">
      <c r="A104" s="15">
        <f t="shared" si="6"/>
        <v>91</v>
      </c>
      <c r="B104" s="16" t="s">
        <v>122</v>
      </c>
      <c r="C104" s="17" t="s">
        <v>21</v>
      </c>
      <c r="D104" s="18"/>
      <c r="E104" s="18"/>
      <c r="F104" s="18"/>
      <c r="G104" s="18"/>
      <c r="H104" s="18"/>
      <c r="I104" s="18"/>
      <c r="J104" s="18"/>
      <c r="K104" s="19">
        <f t="shared" si="4"/>
        <v>0</v>
      </c>
      <c r="L104" s="20">
        <v>90</v>
      </c>
      <c r="M104" s="14">
        <f t="shared" si="5"/>
        <v>0</v>
      </c>
      <c r="N104" s="1"/>
    </row>
    <row r="105" spans="1:14" ht="15.75" hidden="1" thickBot="1" x14ac:dyDescent="0.3">
      <c r="A105" s="15">
        <f t="shared" si="6"/>
        <v>92</v>
      </c>
      <c r="B105" s="16" t="s">
        <v>123</v>
      </c>
      <c r="C105" s="17" t="s">
        <v>21</v>
      </c>
      <c r="D105" s="18"/>
      <c r="E105" s="18"/>
      <c r="F105" s="18"/>
      <c r="G105" s="18"/>
      <c r="H105" s="18"/>
      <c r="I105" s="18"/>
      <c r="J105" s="18"/>
      <c r="K105" s="19">
        <f t="shared" si="4"/>
        <v>0</v>
      </c>
      <c r="L105" s="20">
        <v>33</v>
      </c>
      <c r="M105" s="14">
        <f t="shared" si="5"/>
        <v>0</v>
      </c>
      <c r="N105" s="1"/>
    </row>
    <row r="106" spans="1:14" ht="15.75" hidden="1" thickBot="1" x14ac:dyDescent="0.3">
      <c r="A106" s="15">
        <f t="shared" si="6"/>
        <v>93</v>
      </c>
      <c r="B106" s="16" t="s">
        <v>124</v>
      </c>
      <c r="C106" s="17" t="s">
        <v>125</v>
      </c>
      <c r="D106" s="18"/>
      <c r="E106" s="18"/>
      <c r="F106" s="18"/>
      <c r="G106" s="18"/>
      <c r="H106" s="18"/>
      <c r="I106" s="18"/>
      <c r="J106" s="18"/>
      <c r="K106" s="19">
        <f t="shared" si="4"/>
        <v>0</v>
      </c>
      <c r="L106" s="20">
        <v>85</v>
      </c>
      <c r="M106" s="14">
        <f t="shared" si="5"/>
        <v>0</v>
      </c>
      <c r="N106" s="1"/>
    </row>
    <row r="107" spans="1:14" ht="15.75" hidden="1" thickBot="1" x14ac:dyDescent="0.3">
      <c r="A107" s="15">
        <f t="shared" si="6"/>
        <v>94</v>
      </c>
      <c r="B107" s="16" t="s">
        <v>126</v>
      </c>
      <c r="C107" s="17" t="s">
        <v>21</v>
      </c>
      <c r="D107" s="18"/>
      <c r="E107" s="18"/>
      <c r="F107" s="18"/>
      <c r="G107" s="18"/>
      <c r="H107" s="18"/>
      <c r="I107" s="18"/>
      <c r="J107" s="18"/>
      <c r="K107" s="19">
        <f t="shared" si="4"/>
        <v>0</v>
      </c>
      <c r="L107" s="20">
        <v>50</v>
      </c>
      <c r="M107" s="14">
        <f t="shared" si="5"/>
        <v>0</v>
      </c>
      <c r="N107" s="1"/>
    </row>
    <row r="108" spans="1:14" ht="15.75" thickBot="1" x14ac:dyDescent="0.3">
      <c r="A108" s="15">
        <f t="shared" si="6"/>
        <v>95</v>
      </c>
      <c r="B108" s="16" t="s">
        <v>127</v>
      </c>
      <c r="C108" s="17" t="s">
        <v>21</v>
      </c>
      <c r="D108" s="18"/>
      <c r="E108" s="18"/>
      <c r="F108" s="18"/>
      <c r="G108" s="18"/>
      <c r="H108" s="18"/>
      <c r="I108" s="18">
        <v>1</v>
      </c>
      <c r="J108" s="18"/>
      <c r="K108" s="19">
        <f t="shared" si="4"/>
        <v>1</v>
      </c>
      <c r="L108" s="20">
        <v>25</v>
      </c>
      <c r="M108" s="14">
        <f t="shared" si="5"/>
        <v>25</v>
      </c>
      <c r="N108" s="1"/>
    </row>
    <row r="109" spans="1:14" ht="15.75" hidden="1" thickBot="1" x14ac:dyDescent="0.3">
      <c r="A109" s="15">
        <f t="shared" si="6"/>
        <v>96</v>
      </c>
      <c r="B109" s="16" t="s">
        <v>128</v>
      </c>
      <c r="C109" s="17" t="s">
        <v>129</v>
      </c>
      <c r="D109" s="22"/>
      <c r="E109" s="23"/>
      <c r="F109" s="23"/>
      <c r="G109" s="23"/>
      <c r="H109" s="23"/>
      <c r="I109" s="23"/>
      <c r="J109" s="23"/>
      <c r="K109" s="19">
        <f t="shared" si="4"/>
        <v>0</v>
      </c>
      <c r="L109" s="20">
        <v>8</v>
      </c>
      <c r="M109" s="14">
        <f t="shared" si="5"/>
        <v>0</v>
      </c>
      <c r="N109" s="1"/>
    </row>
    <row r="110" spans="1:14" ht="15.75" hidden="1" thickBot="1" x14ac:dyDescent="0.3">
      <c r="A110" s="15">
        <f t="shared" si="6"/>
        <v>97</v>
      </c>
      <c r="B110" s="16" t="s">
        <v>130</v>
      </c>
      <c r="C110" s="17" t="s">
        <v>21</v>
      </c>
      <c r="D110" s="18"/>
      <c r="E110" s="18"/>
      <c r="F110" s="18"/>
      <c r="G110" s="18"/>
      <c r="H110" s="18"/>
      <c r="I110" s="18"/>
      <c r="J110" s="18"/>
      <c r="K110" s="19">
        <f t="shared" si="4"/>
        <v>0</v>
      </c>
      <c r="L110" s="20">
        <v>20</v>
      </c>
      <c r="M110" s="14">
        <f t="shared" si="5"/>
        <v>0</v>
      </c>
      <c r="N110" s="1"/>
    </row>
    <row r="111" spans="1:14" ht="15.75" hidden="1" thickBot="1" x14ac:dyDescent="0.3">
      <c r="A111" s="15">
        <f t="shared" si="6"/>
        <v>98</v>
      </c>
      <c r="B111" s="16" t="s">
        <v>131</v>
      </c>
      <c r="C111" s="17" t="s">
        <v>132</v>
      </c>
      <c r="D111" s="18"/>
      <c r="E111" s="18"/>
      <c r="F111" s="18"/>
      <c r="G111" s="18"/>
      <c r="H111" s="18"/>
      <c r="I111" s="18"/>
      <c r="J111" s="18"/>
      <c r="K111" s="19">
        <f t="shared" si="4"/>
        <v>0</v>
      </c>
      <c r="L111" s="20">
        <v>65</v>
      </c>
      <c r="M111" s="14">
        <f t="shared" si="5"/>
        <v>0</v>
      </c>
      <c r="N111" s="1"/>
    </row>
    <row r="112" spans="1:14" ht="15.75" hidden="1" thickBot="1" x14ac:dyDescent="0.3">
      <c r="A112" s="15">
        <f t="shared" si="6"/>
        <v>99</v>
      </c>
      <c r="B112" s="16" t="s">
        <v>133</v>
      </c>
      <c r="C112" s="17" t="s">
        <v>21</v>
      </c>
      <c r="D112" s="18"/>
      <c r="E112" s="18"/>
      <c r="F112" s="18"/>
      <c r="G112" s="18"/>
      <c r="H112" s="18"/>
      <c r="I112" s="18"/>
      <c r="J112" s="18"/>
      <c r="K112" s="19">
        <f t="shared" ref="K112:K137" si="7">SUM(D112:J112)</f>
        <v>0</v>
      </c>
      <c r="L112" s="20">
        <v>105</v>
      </c>
      <c r="M112" s="14">
        <f t="shared" si="5"/>
        <v>0</v>
      </c>
      <c r="N112" s="1"/>
    </row>
    <row r="113" spans="1:14" ht="15.75" hidden="1" thickBot="1" x14ac:dyDescent="0.3">
      <c r="A113" s="15">
        <f t="shared" si="6"/>
        <v>100</v>
      </c>
      <c r="B113" s="16" t="s">
        <v>134</v>
      </c>
      <c r="C113" s="17" t="s">
        <v>135</v>
      </c>
      <c r="D113" s="18"/>
      <c r="E113" s="18"/>
      <c r="F113" s="18"/>
      <c r="G113" s="18"/>
      <c r="H113" s="18"/>
      <c r="I113" s="18"/>
      <c r="J113" s="18"/>
      <c r="K113" s="19">
        <f t="shared" si="7"/>
        <v>0</v>
      </c>
      <c r="L113" s="20">
        <v>60</v>
      </c>
      <c r="M113" s="14">
        <f t="shared" si="5"/>
        <v>0</v>
      </c>
      <c r="N113" s="1"/>
    </row>
    <row r="114" spans="1:14" ht="15.75" hidden="1" thickBot="1" x14ac:dyDescent="0.3">
      <c r="A114" s="15">
        <f t="shared" si="6"/>
        <v>101</v>
      </c>
      <c r="B114" s="16" t="s">
        <v>136</v>
      </c>
      <c r="C114" s="17" t="s">
        <v>135</v>
      </c>
      <c r="D114" s="18"/>
      <c r="E114" s="18"/>
      <c r="F114" s="18"/>
      <c r="G114" s="18"/>
      <c r="H114" s="18"/>
      <c r="I114" s="18"/>
      <c r="J114" s="18"/>
      <c r="K114" s="19">
        <f t="shared" si="7"/>
        <v>0</v>
      </c>
      <c r="L114" s="20">
        <v>60</v>
      </c>
      <c r="M114" s="14">
        <f t="shared" si="5"/>
        <v>0</v>
      </c>
      <c r="N114" s="1"/>
    </row>
    <row r="115" spans="1:14" ht="15.75" hidden="1" thickBot="1" x14ac:dyDescent="0.3">
      <c r="A115" s="15">
        <f t="shared" si="6"/>
        <v>102</v>
      </c>
      <c r="B115" s="16" t="s">
        <v>137</v>
      </c>
      <c r="C115" s="17" t="s">
        <v>138</v>
      </c>
      <c r="D115" s="18"/>
      <c r="E115" s="18"/>
      <c r="F115" s="18"/>
      <c r="G115" s="18"/>
      <c r="H115" s="18"/>
      <c r="I115" s="18"/>
      <c r="J115" s="18"/>
      <c r="K115" s="19">
        <f t="shared" si="7"/>
        <v>0</v>
      </c>
      <c r="L115" s="20">
        <v>70</v>
      </c>
      <c r="M115" s="14">
        <f t="shared" si="5"/>
        <v>0</v>
      </c>
      <c r="N115" s="1"/>
    </row>
    <row r="116" spans="1:14" ht="15.75" hidden="1" thickBot="1" x14ac:dyDescent="0.3">
      <c r="A116" s="15">
        <f t="shared" si="6"/>
        <v>103</v>
      </c>
      <c r="B116" s="16" t="s">
        <v>139</v>
      </c>
      <c r="C116" s="17" t="s">
        <v>21</v>
      </c>
      <c r="D116" s="18"/>
      <c r="E116" s="18"/>
      <c r="F116" s="18"/>
      <c r="G116" s="18"/>
      <c r="H116" s="18"/>
      <c r="I116" s="18"/>
      <c r="J116" s="18"/>
      <c r="K116" s="19">
        <f t="shared" si="7"/>
        <v>0</v>
      </c>
      <c r="L116" s="20">
        <v>306</v>
      </c>
      <c r="M116" s="14">
        <f t="shared" si="5"/>
        <v>0</v>
      </c>
      <c r="N116" s="1"/>
    </row>
    <row r="117" spans="1:14" ht="15.75" hidden="1" thickBot="1" x14ac:dyDescent="0.3">
      <c r="A117" s="15">
        <f t="shared" si="6"/>
        <v>104</v>
      </c>
      <c r="B117" s="16" t="s">
        <v>140</v>
      </c>
      <c r="C117" s="17" t="s">
        <v>21</v>
      </c>
      <c r="D117" s="18"/>
      <c r="E117" s="18"/>
      <c r="F117" s="18"/>
      <c r="G117" s="18"/>
      <c r="H117" s="18"/>
      <c r="I117" s="18"/>
      <c r="J117" s="18"/>
      <c r="K117" s="19">
        <f t="shared" si="7"/>
        <v>0</v>
      </c>
      <c r="L117" s="20">
        <v>248</v>
      </c>
      <c r="M117" s="14">
        <f t="shared" si="5"/>
        <v>0</v>
      </c>
      <c r="N117" s="1"/>
    </row>
    <row r="118" spans="1:14" ht="15.75" hidden="1" thickBot="1" x14ac:dyDescent="0.3">
      <c r="A118" s="15">
        <f t="shared" si="6"/>
        <v>105</v>
      </c>
      <c r="B118" s="16" t="s">
        <v>141</v>
      </c>
      <c r="C118" s="17" t="s">
        <v>21</v>
      </c>
      <c r="D118" s="18"/>
      <c r="E118" s="18"/>
      <c r="F118" s="18"/>
      <c r="G118" s="18"/>
      <c r="H118" s="18"/>
      <c r="I118" s="18"/>
      <c r="J118" s="18"/>
      <c r="K118" s="19">
        <f t="shared" si="7"/>
        <v>0</v>
      </c>
      <c r="L118" s="20">
        <v>110</v>
      </c>
      <c r="M118" s="14">
        <f t="shared" si="5"/>
        <v>0</v>
      </c>
      <c r="N118" s="1"/>
    </row>
    <row r="119" spans="1:14" ht="15.75" hidden="1" thickBot="1" x14ac:dyDescent="0.3">
      <c r="A119" s="15">
        <f t="shared" si="6"/>
        <v>106</v>
      </c>
      <c r="B119" s="16" t="s">
        <v>142</v>
      </c>
      <c r="C119" s="17" t="s">
        <v>21</v>
      </c>
      <c r="D119" s="18"/>
      <c r="E119" s="18"/>
      <c r="F119" s="18"/>
      <c r="G119" s="18"/>
      <c r="H119" s="18"/>
      <c r="I119" s="18"/>
      <c r="J119" s="18"/>
      <c r="K119" s="19">
        <f t="shared" si="7"/>
        <v>0</v>
      </c>
      <c r="L119" s="20">
        <v>70</v>
      </c>
      <c r="M119" s="14">
        <f t="shared" si="5"/>
        <v>0</v>
      </c>
      <c r="N119" s="1"/>
    </row>
    <row r="120" spans="1:14" ht="15.75" hidden="1" thickBot="1" x14ac:dyDescent="0.3">
      <c r="A120" s="15">
        <f t="shared" si="6"/>
        <v>107</v>
      </c>
      <c r="B120" s="16" t="s">
        <v>143</v>
      </c>
      <c r="C120" s="17" t="s">
        <v>21</v>
      </c>
      <c r="D120" s="18"/>
      <c r="E120" s="18"/>
      <c r="F120" s="18"/>
      <c r="G120" s="18"/>
      <c r="H120" s="18"/>
      <c r="I120" s="18"/>
      <c r="J120" s="18"/>
      <c r="K120" s="19">
        <f t="shared" si="7"/>
        <v>0</v>
      </c>
      <c r="L120" s="20">
        <v>108</v>
      </c>
      <c r="M120" s="14">
        <f t="shared" si="5"/>
        <v>0</v>
      </c>
      <c r="N120" s="1"/>
    </row>
    <row r="121" spans="1:14" ht="15.75" hidden="1" thickBot="1" x14ac:dyDescent="0.3">
      <c r="A121" s="15">
        <f t="shared" si="6"/>
        <v>108</v>
      </c>
      <c r="B121" s="16" t="s">
        <v>144</v>
      </c>
      <c r="C121" s="17" t="s">
        <v>21</v>
      </c>
      <c r="D121" s="18"/>
      <c r="E121" s="18"/>
      <c r="F121" s="18"/>
      <c r="G121" s="18"/>
      <c r="H121" s="18"/>
      <c r="I121" s="18"/>
      <c r="J121" s="18"/>
      <c r="K121" s="19">
        <f t="shared" si="7"/>
        <v>0</v>
      </c>
      <c r="L121" s="20">
        <v>48</v>
      </c>
      <c r="M121" s="14">
        <f t="shared" si="5"/>
        <v>0</v>
      </c>
      <c r="N121" s="1"/>
    </row>
    <row r="122" spans="1:14" ht="15.75" hidden="1" thickBot="1" x14ac:dyDescent="0.3">
      <c r="A122" s="15">
        <f t="shared" si="6"/>
        <v>109</v>
      </c>
      <c r="B122" s="16" t="s">
        <v>145</v>
      </c>
      <c r="C122" s="17" t="s">
        <v>21</v>
      </c>
      <c r="D122" s="18"/>
      <c r="E122" s="18"/>
      <c r="F122" s="18"/>
      <c r="G122" s="18"/>
      <c r="H122" s="18"/>
      <c r="I122" s="18"/>
      <c r="J122" s="18"/>
      <c r="K122" s="19">
        <f t="shared" si="7"/>
        <v>0</v>
      </c>
      <c r="L122" s="20">
        <v>58</v>
      </c>
      <c r="M122" s="14">
        <f t="shared" si="5"/>
        <v>0</v>
      </c>
      <c r="N122" s="1"/>
    </row>
    <row r="123" spans="1:14" ht="15.75" hidden="1" thickBot="1" x14ac:dyDescent="0.3">
      <c r="A123" s="15">
        <f t="shared" si="6"/>
        <v>110</v>
      </c>
      <c r="B123" s="16" t="s">
        <v>146</v>
      </c>
      <c r="C123" s="17" t="s">
        <v>21</v>
      </c>
      <c r="D123" s="18"/>
      <c r="E123" s="18"/>
      <c r="F123" s="18"/>
      <c r="G123" s="18"/>
      <c r="H123" s="18"/>
      <c r="I123" s="18"/>
      <c r="J123" s="18"/>
      <c r="K123" s="19">
        <f t="shared" si="7"/>
        <v>0</v>
      </c>
      <c r="L123" s="20">
        <v>28</v>
      </c>
      <c r="M123" s="14">
        <f t="shared" si="5"/>
        <v>0</v>
      </c>
      <c r="N123" s="1"/>
    </row>
    <row r="124" spans="1:14" ht="15.75" hidden="1" thickBot="1" x14ac:dyDescent="0.3">
      <c r="A124" s="15">
        <f t="shared" si="6"/>
        <v>111</v>
      </c>
      <c r="B124" s="16" t="s">
        <v>147</v>
      </c>
      <c r="C124" s="17" t="s">
        <v>21</v>
      </c>
      <c r="D124" s="18"/>
      <c r="E124" s="18"/>
      <c r="F124" s="18"/>
      <c r="G124" s="18"/>
      <c r="H124" s="18"/>
      <c r="I124" s="18"/>
      <c r="J124" s="18"/>
      <c r="K124" s="19">
        <f t="shared" si="7"/>
        <v>0</v>
      </c>
      <c r="L124" s="20">
        <v>168</v>
      </c>
      <c r="M124" s="14">
        <f t="shared" si="5"/>
        <v>0</v>
      </c>
      <c r="N124" s="1"/>
    </row>
    <row r="125" spans="1:14" ht="15.75" hidden="1" thickBot="1" x14ac:dyDescent="0.3">
      <c r="A125" s="15">
        <f t="shared" si="6"/>
        <v>112</v>
      </c>
      <c r="B125" s="16" t="s">
        <v>148</v>
      </c>
      <c r="C125" s="17" t="s">
        <v>21</v>
      </c>
      <c r="D125" s="18"/>
      <c r="E125" s="18"/>
      <c r="F125" s="18"/>
      <c r="G125" s="18"/>
      <c r="H125" s="18"/>
      <c r="I125" s="18"/>
      <c r="J125" s="18"/>
      <c r="K125" s="19">
        <f t="shared" si="7"/>
        <v>0</v>
      </c>
      <c r="L125" s="20">
        <v>80</v>
      </c>
      <c r="M125" s="14">
        <f t="shared" si="5"/>
        <v>0</v>
      </c>
      <c r="N125" s="1"/>
    </row>
    <row r="126" spans="1:14" ht="15.75" hidden="1" thickBot="1" x14ac:dyDescent="0.3">
      <c r="A126" s="15">
        <f t="shared" si="6"/>
        <v>113</v>
      </c>
      <c r="B126" s="16" t="s">
        <v>149</v>
      </c>
      <c r="C126" s="17" t="s">
        <v>150</v>
      </c>
      <c r="D126" s="18"/>
      <c r="E126" s="18"/>
      <c r="F126" s="18"/>
      <c r="G126" s="18"/>
      <c r="H126" s="18"/>
      <c r="I126" s="18"/>
      <c r="J126" s="18"/>
      <c r="K126" s="19">
        <f t="shared" si="7"/>
        <v>0</v>
      </c>
      <c r="L126" s="20">
        <v>192</v>
      </c>
      <c r="M126" s="14">
        <f t="shared" si="5"/>
        <v>0</v>
      </c>
      <c r="N126" s="1"/>
    </row>
    <row r="127" spans="1:14" ht="15.75" hidden="1" thickBot="1" x14ac:dyDescent="0.3">
      <c r="A127" s="15">
        <f t="shared" si="6"/>
        <v>114</v>
      </c>
      <c r="B127" s="16" t="s">
        <v>151</v>
      </c>
      <c r="C127" s="17" t="s">
        <v>21</v>
      </c>
      <c r="D127" s="18"/>
      <c r="E127" s="18"/>
      <c r="F127" s="18"/>
      <c r="G127" s="18"/>
      <c r="H127" s="18"/>
      <c r="I127" s="18"/>
      <c r="J127" s="18"/>
      <c r="K127" s="19">
        <f t="shared" si="7"/>
        <v>0</v>
      </c>
      <c r="L127" s="20">
        <v>40</v>
      </c>
      <c r="M127" s="14">
        <f t="shared" si="5"/>
        <v>0</v>
      </c>
      <c r="N127" s="1"/>
    </row>
    <row r="128" spans="1:14" ht="15.75" hidden="1" thickBot="1" x14ac:dyDescent="0.3">
      <c r="A128" s="15">
        <f t="shared" si="6"/>
        <v>115</v>
      </c>
      <c r="B128" s="16" t="s">
        <v>152</v>
      </c>
      <c r="C128" s="17" t="s">
        <v>21</v>
      </c>
      <c r="D128" s="18"/>
      <c r="E128" s="18"/>
      <c r="F128" s="18"/>
      <c r="G128" s="18"/>
      <c r="H128" s="18"/>
      <c r="I128" s="18"/>
      <c r="J128" s="18"/>
      <c r="K128" s="19">
        <f t="shared" ref="K128:K129" si="8">SUM(D128:J128)</f>
        <v>0</v>
      </c>
      <c r="L128" s="20">
        <v>177</v>
      </c>
      <c r="M128" s="14">
        <f t="shared" si="5"/>
        <v>0</v>
      </c>
      <c r="N128" s="1"/>
    </row>
    <row r="129" spans="1:14" ht="15.75" hidden="1" thickBot="1" x14ac:dyDescent="0.3">
      <c r="A129" s="15">
        <f t="shared" si="6"/>
        <v>116</v>
      </c>
      <c r="B129" s="16" t="s">
        <v>153</v>
      </c>
      <c r="C129" s="17" t="s">
        <v>21</v>
      </c>
      <c r="D129" s="18"/>
      <c r="E129" s="18"/>
      <c r="F129" s="18"/>
      <c r="G129" s="18"/>
      <c r="H129" s="18"/>
      <c r="I129" s="18"/>
      <c r="J129" s="18"/>
      <c r="K129" s="19">
        <f t="shared" si="8"/>
        <v>0</v>
      </c>
      <c r="L129" s="20">
        <v>27.5</v>
      </c>
      <c r="M129" s="14">
        <f t="shared" si="5"/>
        <v>0</v>
      </c>
      <c r="N129" s="1"/>
    </row>
    <row r="130" spans="1:14" ht="15.75" hidden="1" thickBot="1" x14ac:dyDescent="0.3">
      <c r="A130" s="15">
        <f t="shared" si="6"/>
        <v>117</v>
      </c>
      <c r="B130" s="16" t="s">
        <v>154</v>
      </c>
      <c r="C130" s="17" t="s">
        <v>21</v>
      </c>
      <c r="D130" s="18"/>
      <c r="E130" s="18"/>
      <c r="F130" s="18"/>
      <c r="G130" s="18"/>
      <c r="H130" s="18"/>
      <c r="I130" s="18"/>
      <c r="J130" s="18"/>
      <c r="K130" s="19">
        <f t="shared" si="7"/>
        <v>0</v>
      </c>
      <c r="L130" s="20">
        <v>27</v>
      </c>
      <c r="M130" s="14">
        <f t="shared" si="5"/>
        <v>0</v>
      </c>
      <c r="N130" s="1"/>
    </row>
    <row r="131" spans="1:14" ht="15.75" thickBot="1" x14ac:dyDescent="0.3">
      <c r="A131" s="15">
        <f t="shared" si="6"/>
        <v>118</v>
      </c>
      <c r="B131" s="16" t="s">
        <v>155</v>
      </c>
      <c r="C131" s="17" t="s">
        <v>21</v>
      </c>
      <c r="D131" s="18"/>
      <c r="E131" s="18"/>
      <c r="F131" s="18"/>
      <c r="G131" s="18"/>
      <c r="H131" s="18"/>
      <c r="I131" s="18">
        <v>3</v>
      </c>
      <c r="J131" s="18"/>
      <c r="K131" s="19">
        <f t="shared" si="7"/>
        <v>3</v>
      </c>
      <c r="L131" s="20">
        <v>8</v>
      </c>
      <c r="M131" s="14">
        <f t="shared" si="5"/>
        <v>24</v>
      </c>
      <c r="N131" s="1"/>
    </row>
    <row r="132" spans="1:14" x14ac:dyDescent="0.25">
      <c r="A132" s="15">
        <f t="shared" si="6"/>
        <v>119</v>
      </c>
      <c r="B132" s="16" t="s">
        <v>156</v>
      </c>
      <c r="C132" s="17" t="s">
        <v>21</v>
      </c>
      <c r="D132" s="18"/>
      <c r="E132" s="18"/>
      <c r="F132" s="18"/>
      <c r="G132" s="18"/>
      <c r="H132" s="18"/>
      <c r="I132" s="18">
        <v>2</v>
      </c>
      <c r="J132" s="18"/>
      <c r="K132" s="19">
        <f t="shared" si="7"/>
        <v>2</v>
      </c>
      <c r="L132" s="20">
        <v>8.5</v>
      </c>
      <c r="M132" s="14">
        <f t="shared" si="5"/>
        <v>17</v>
      </c>
      <c r="N132" s="1"/>
    </row>
    <row r="133" spans="1:14" hidden="1" x14ac:dyDescent="0.25">
      <c r="A133" s="15">
        <f t="shared" si="6"/>
        <v>120</v>
      </c>
      <c r="B133" s="16" t="s">
        <v>157</v>
      </c>
      <c r="C133" s="17" t="s">
        <v>21</v>
      </c>
      <c r="D133" s="18"/>
      <c r="E133" s="18"/>
      <c r="F133" s="18"/>
      <c r="G133" s="18"/>
      <c r="H133" s="18"/>
      <c r="I133" s="18"/>
      <c r="J133" s="18"/>
      <c r="K133" s="19">
        <f t="shared" si="7"/>
        <v>0</v>
      </c>
      <c r="L133" s="20">
        <v>38</v>
      </c>
      <c r="M133" s="14">
        <f t="shared" si="5"/>
        <v>0</v>
      </c>
      <c r="N133" s="1"/>
    </row>
    <row r="134" spans="1:14" hidden="1" x14ac:dyDescent="0.25">
      <c r="A134" s="15">
        <f t="shared" si="6"/>
        <v>121</v>
      </c>
      <c r="B134" s="16" t="s">
        <v>158</v>
      </c>
      <c r="C134" s="17" t="s">
        <v>21</v>
      </c>
      <c r="D134" s="18"/>
      <c r="E134" s="18"/>
      <c r="F134" s="18"/>
      <c r="G134" s="18"/>
      <c r="H134" s="18"/>
      <c r="I134" s="18"/>
      <c r="J134" s="18"/>
      <c r="K134" s="19">
        <f t="shared" si="7"/>
        <v>0</v>
      </c>
      <c r="L134" s="20">
        <v>160</v>
      </c>
      <c r="M134" s="14">
        <f t="shared" si="5"/>
        <v>0</v>
      </c>
      <c r="N134" s="1"/>
    </row>
    <row r="135" spans="1:14" hidden="1" x14ac:dyDescent="0.25">
      <c r="A135" s="15">
        <f t="shared" si="6"/>
        <v>122</v>
      </c>
      <c r="B135" s="21" t="s">
        <v>159</v>
      </c>
      <c r="C135" s="17" t="s">
        <v>21</v>
      </c>
      <c r="D135" s="18"/>
      <c r="E135" s="18"/>
      <c r="F135" s="18"/>
      <c r="G135" s="18"/>
      <c r="H135" s="18"/>
      <c r="I135" s="18"/>
      <c r="J135" s="18"/>
      <c r="K135" s="19">
        <f t="shared" si="7"/>
        <v>0</v>
      </c>
      <c r="L135" s="20">
        <v>46</v>
      </c>
      <c r="M135" s="14">
        <f t="shared" si="5"/>
        <v>0</v>
      </c>
      <c r="N135" s="1"/>
    </row>
    <row r="136" spans="1:14" hidden="1" x14ac:dyDescent="0.25">
      <c r="A136" s="15">
        <f t="shared" si="6"/>
        <v>123</v>
      </c>
      <c r="B136" s="16" t="s">
        <v>160</v>
      </c>
      <c r="C136" s="17" t="s">
        <v>21</v>
      </c>
      <c r="D136" s="18"/>
      <c r="E136" s="18"/>
      <c r="F136" s="18"/>
      <c r="G136" s="18"/>
      <c r="H136" s="18"/>
      <c r="I136" s="18"/>
      <c r="J136" s="18"/>
      <c r="K136" s="19">
        <f t="shared" si="7"/>
        <v>0</v>
      </c>
      <c r="L136" s="20">
        <v>70</v>
      </c>
      <c r="M136" s="14">
        <f t="shared" si="5"/>
        <v>0</v>
      </c>
    </row>
    <row r="137" spans="1:14" hidden="1" x14ac:dyDescent="0.25">
      <c r="A137" s="15">
        <f t="shared" si="6"/>
        <v>124</v>
      </c>
      <c r="B137" s="16" t="s">
        <v>161</v>
      </c>
      <c r="C137" s="17" t="s">
        <v>21</v>
      </c>
      <c r="D137" s="18"/>
      <c r="E137" s="18"/>
      <c r="F137" s="18"/>
      <c r="G137" s="18"/>
      <c r="H137" s="18"/>
      <c r="I137" s="18"/>
      <c r="J137" s="18"/>
      <c r="K137" s="19">
        <f t="shared" si="7"/>
        <v>0</v>
      </c>
      <c r="L137" s="20">
        <v>26</v>
      </c>
      <c r="M137" s="14">
        <f t="shared" si="5"/>
        <v>0</v>
      </c>
    </row>
    <row r="138" spans="1:14" hidden="1" x14ac:dyDescent="0.25">
      <c r="A138" s="15">
        <f t="shared" si="6"/>
        <v>125</v>
      </c>
      <c r="B138" s="16" t="s">
        <v>162</v>
      </c>
      <c r="C138" s="17" t="s">
        <v>21</v>
      </c>
      <c r="D138" s="18"/>
      <c r="E138" s="18"/>
      <c r="F138" s="18"/>
      <c r="G138" s="18"/>
      <c r="H138" s="18"/>
      <c r="I138" s="18"/>
      <c r="J138" s="18"/>
      <c r="K138" s="19">
        <f>SUM(D138:J138)</f>
        <v>0</v>
      </c>
      <c r="L138" s="20">
        <v>330</v>
      </c>
      <c r="M138" s="14">
        <f t="shared" si="5"/>
        <v>0</v>
      </c>
    </row>
    <row r="139" spans="1:14" hidden="1" x14ac:dyDescent="0.25">
      <c r="A139" s="15">
        <f t="shared" si="6"/>
        <v>126</v>
      </c>
      <c r="B139" s="16" t="s">
        <v>163</v>
      </c>
      <c r="C139" s="17" t="s">
        <v>21</v>
      </c>
      <c r="D139" s="18"/>
      <c r="E139" s="18"/>
      <c r="F139" s="18"/>
      <c r="G139" s="18"/>
      <c r="H139" s="18"/>
      <c r="I139" s="18"/>
      <c r="J139" s="18"/>
      <c r="K139" s="19">
        <f>SUM(D139:J139)</f>
        <v>0</v>
      </c>
      <c r="L139" s="20">
        <v>48</v>
      </c>
      <c r="M139" s="14">
        <f t="shared" si="5"/>
        <v>0</v>
      </c>
    </row>
    <row r="140" spans="1:14" hidden="1" x14ac:dyDescent="0.25">
      <c r="A140" s="15">
        <f t="shared" si="6"/>
        <v>127</v>
      </c>
      <c r="B140" s="16" t="s">
        <v>164</v>
      </c>
      <c r="C140" s="17" t="s">
        <v>21</v>
      </c>
      <c r="D140" s="18"/>
      <c r="E140" s="18"/>
      <c r="F140" s="18"/>
      <c r="G140" s="18"/>
      <c r="H140" s="18"/>
      <c r="I140" s="18"/>
      <c r="J140" s="18"/>
      <c r="K140" s="19">
        <f>SUM(D140:J140)</f>
        <v>0</v>
      </c>
      <c r="L140" s="20">
        <v>78</v>
      </c>
      <c r="M140" s="14">
        <f t="shared" si="5"/>
        <v>0</v>
      </c>
    </row>
    <row r="141" spans="1:14" hidden="1" x14ac:dyDescent="0.25">
      <c r="A141" s="15">
        <f t="shared" si="6"/>
        <v>128</v>
      </c>
      <c r="B141" s="16" t="s">
        <v>165</v>
      </c>
      <c r="C141" s="17" t="s">
        <v>21</v>
      </c>
      <c r="D141" s="18"/>
      <c r="E141" s="18"/>
      <c r="F141" s="18"/>
      <c r="G141" s="18"/>
      <c r="H141" s="18"/>
      <c r="I141" s="18"/>
      <c r="J141" s="18"/>
      <c r="K141" s="19">
        <f>SUM(D141:J141)</f>
        <v>0</v>
      </c>
      <c r="L141" s="20">
        <v>144</v>
      </c>
      <c r="M141" s="14">
        <f t="shared" si="5"/>
        <v>0</v>
      </c>
    </row>
  </sheetData>
  <sheetProtection autoFilter="0"/>
  <protectedRanges>
    <protectedRange sqref="D9" name="GERENTES_2_1"/>
    <protectedRange sqref="D15:J24" name="GERENTE"/>
    <protectedRange sqref="D14:J14" name="GERENTE_1"/>
    <protectedRange sqref="A14" name="GERENTE_2"/>
    <protectedRange sqref="A15:A141" name="GERENTE_1_1"/>
    <protectedRange sqref="B106:B109 B14:B104" name="GERENTE_1_1_1_3_1_1"/>
    <protectedRange sqref="B105" name="GERENTE_1_1_1_1_2_1_1"/>
    <protectedRange sqref="C106:C107 C14:C104" name="GERENTE_2_1_4_1_1"/>
    <protectedRange sqref="C105" name="GERENTE_2_1_1_3_1_1"/>
    <protectedRange sqref="L106:L107 L14:L104" name="GERENTE_2_1_2_1_1_1"/>
    <protectedRange sqref="L105" name="GERENTE_2_1_1_1_1_1_1"/>
  </protectedRanges>
  <autoFilter ref="A13:M141" xr:uid="{00000000-0009-0000-0000-000000000000}">
    <filterColumn colId="8">
      <customFilters>
        <customFilter operator="notEqual" val=" "/>
      </customFilters>
    </filterColumn>
  </autoFilter>
  <mergeCells count="29">
    <mergeCell ref="M11:M13"/>
    <mergeCell ref="A11:A13"/>
    <mergeCell ref="B11:B13"/>
    <mergeCell ref="C11:C13"/>
    <mergeCell ref="D11:J11"/>
    <mergeCell ref="K11:K13"/>
    <mergeCell ref="L11:L13"/>
    <mergeCell ref="A7:C7"/>
    <mergeCell ref="D7:J7"/>
    <mergeCell ref="K7:M7"/>
    <mergeCell ref="A8:C8"/>
    <mergeCell ref="D8:J8"/>
    <mergeCell ref="K8:M9"/>
    <mergeCell ref="A9:C9"/>
    <mergeCell ref="D9:J9"/>
    <mergeCell ref="A5:C5"/>
    <mergeCell ref="D5:J5"/>
    <mergeCell ref="K5:M5"/>
    <mergeCell ref="A6:C6"/>
    <mergeCell ref="D6:J6"/>
    <mergeCell ref="K6:M6"/>
    <mergeCell ref="A4:C4"/>
    <mergeCell ref="D4:J4"/>
    <mergeCell ref="K4:M4"/>
    <mergeCell ref="A1:J1"/>
    <mergeCell ref="K1:M1"/>
    <mergeCell ref="A3:C3"/>
    <mergeCell ref="D3:J3"/>
    <mergeCell ref="K3:M3"/>
  </mergeCells>
  <dataValidations count="1">
    <dataValidation allowBlank="1" showInputMessage="1" showErrorMessage="1" sqref="D4:D5" xr:uid="{00000000-0002-0000-0000-000000000000}"/>
  </dataValidations>
  <hyperlinks>
    <hyperlink ref="K8" r:id="rId1" xr:uid="{00000000-0004-0000-0000-000000000000}"/>
  </hyperlinks>
  <pageMargins left="0.7" right="0.7" top="0.75" bottom="0.75" header="0.3" footer="0.3"/>
  <pageSetup scale="60" orientation="portrait" verticalDpi="300" r:id="rId2"/>
  <colBreaks count="1" manualBreakCount="1">
    <brk id="13" max="1048575" man="1"/>
  </colBreak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LICA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luzanguiano154@gmail.com</dc:creator>
  <cp:lastModifiedBy>Usuario de Windows</cp:lastModifiedBy>
  <dcterms:created xsi:type="dcterms:W3CDTF">2022-06-30T15:57:02Z</dcterms:created>
  <dcterms:modified xsi:type="dcterms:W3CDTF">2022-07-05T00:00:48Z</dcterms:modified>
</cp:coreProperties>
</file>