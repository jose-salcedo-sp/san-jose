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ix\Desktop\BIMBO\ordenes de compra\Pedidos -\"/>
    </mc:Choice>
  </mc:AlternateContent>
  <xr:revisionPtr revIDLastSave="0" documentId="13_ncr:1_{9362307D-1A1B-44D4-9425-6D31E0B06A31}" xr6:coauthVersionLast="47" xr6:coauthVersionMax="47" xr10:uidLastSave="{00000000-0000-0000-0000-000000000000}"/>
  <bookViews>
    <workbookView xWindow="-120" yWindow="-120" windowWidth="20730" windowHeight="11160" xr2:uid="{211F4876-1839-4170-91A8-DA4E9F06BCA6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8" i="1" l="1"/>
  <c r="M138" i="1" s="1"/>
  <c r="M137" i="1"/>
  <c r="K137" i="1"/>
  <c r="K136" i="1"/>
  <c r="M136" i="1" s="1"/>
  <c r="M135" i="1"/>
  <c r="K135" i="1"/>
  <c r="K134" i="1"/>
  <c r="M134" i="1" s="1"/>
  <c r="M133" i="1"/>
  <c r="K133" i="1"/>
  <c r="K132" i="1"/>
  <c r="M132" i="1" s="1"/>
  <c r="M131" i="1"/>
  <c r="K131" i="1"/>
  <c r="K130" i="1"/>
  <c r="M130" i="1" s="1"/>
  <c r="M129" i="1"/>
  <c r="K129" i="1"/>
  <c r="K128" i="1"/>
  <c r="M128" i="1" s="1"/>
  <c r="M127" i="1"/>
  <c r="K127" i="1"/>
  <c r="K126" i="1"/>
  <c r="M126" i="1" s="1"/>
  <c r="M125" i="1"/>
  <c r="K125" i="1"/>
  <c r="K124" i="1"/>
  <c r="M124" i="1" s="1"/>
  <c r="M123" i="1"/>
  <c r="K123" i="1"/>
  <c r="K122" i="1"/>
  <c r="M122" i="1" s="1"/>
  <c r="M121" i="1"/>
  <c r="K121" i="1"/>
  <c r="K120" i="1"/>
  <c r="M120" i="1" s="1"/>
  <c r="M119" i="1"/>
  <c r="K119" i="1"/>
  <c r="K118" i="1"/>
  <c r="M118" i="1" s="1"/>
  <c r="M117" i="1"/>
  <c r="K117" i="1"/>
  <c r="K116" i="1"/>
  <c r="M116" i="1" s="1"/>
  <c r="M115" i="1"/>
  <c r="K115" i="1"/>
  <c r="K114" i="1"/>
  <c r="M114" i="1" s="1"/>
  <c r="M113" i="1"/>
  <c r="K113" i="1"/>
  <c r="K112" i="1"/>
  <c r="M112" i="1" s="1"/>
  <c r="M111" i="1"/>
  <c r="K111" i="1"/>
  <c r="K110" i="1"/>
  <c r="M110" i="1" s="1"/>
  <c r="M109" i="1"/>
  <c r="K109" i="1"/>
  <c r="K108" i="1"/>
  <c r="M108" i="1" s="1"/>
  <c r="M107" i="1"/>
  <c r="K107" i="1"/>
  <c r="K106" i="1"/>
  <c r="M106" i="1" s="1"/>
  <c r="M105" i="1"/>
  <c r="K105" i="1"/>
  <c r="K104" i="1"/>
  <c r="M104" i="1" s="1"/>
  <c r="M103" i="1"/>
  <c r="K103" i="1"/>
  <c r="K102" i="1"/>
  <c r="M102" i="1" s="1"/>
  <c r="M101" i="1"/>
  <c r="K101" i="1"/>
  <c r="K100" i="1"/>
  <c r="M100" i="1" s="1"/>
  <c r="M99" i="1"/>
  <c r="K99" i="1"/>
  <c r="K98" i="1"/>
  <c r="M98" i="1" s="1"/>
  <c r="M97" i="1"/>
  <c r="K97" i="1"/>
  <c r="K96" i="1"/>
  <c r="M96" i="1" s="1"/>
  <c r="M95" i="1"/>
  <c r="K95" i="1"/>
  <c r="K94" i="1"/>
  <c r="M94" i="1" s="1"/>
  <c r="M93" i="1"/>
  <c r="K93" i="1"/>
  <c r="K92" i="1"/>
  <c r="M92" i="1" s="1"/>
  <c r="M91" i="1"/>
  <c r="K91" i="1"/>
  <c r="K90" i="1"/>
  <c r="M90" i="1" s="1"/>
  <c r="M89" i="1"/>
  <c r="K89" i="1"/>
  <c r="K88" i="1"/>
  <c r="M88" i="1" s="1"/>
  <c r="M87" i="1"/>
  <c r="K87" i="1"/>
  <c r="K86" i="1"/>
  <c r="M86" i="1" s="1"/>
  <c r="M85" i="1"/>
  <c r="K85" i="1"/>
  <c r="K84" i="1"/>
  <c r="M84" i="1" s="1"/>
  <c r="M83" i="1"/>
  <c r="K83" i="1"/>
  <c r="K82" i="1"/>
  <c r="M82" i="1" s="1"/>
  <c r="M81" i="1"/>
  <c r="K81" i="1"/>
  <c r="K80" i="1"/>
  <c r="M80" i="1" s="1"/>
  <c r="M79" i="1"/>
  <c r="K79" i="1"/>
  <c r="K78" i="1"/>
  <c r="M78" i="1" s="1"/>
  <c r="M77" i="1"/>
  <c r="K77" i="1"/>
  <c r="K76" i="1"/>
  <c r="M76" i="1" s="1"/>
  <c r="M75" i="1"/>
  <c r="K75" i="1"/>
  <c r="K74" i="1"/>
  <c r="M74" i="1" s="1"/>
  <c r="M73" i="1"/>
  <c r="K73" i="1"/>
  <c r="K72" i="1"/>
  <c r="M72" i="1" s="1"/>
  <c r="M71" i="1"/>
  <c r="K71" i="1"/>
  <c r="K70" i="1"/>
  <c r="M70" i="1" s="1"/>
  <c r="M69" i="1"/>
  <c r="K69" i="1"/>
  <c r="K68" i="1"/>
  <c r="M68" i="1" s="1"/>
  <c r="M67" i="1"/>
  <c r="K67" i="1"/>
  <c r="K66" i="1"/>
  <c r="M66" i="1" s="1"/>
  <c r="M65" i="1"/>
  <c r="K65" i="1"/>
  <c r="K64" i="1"/>
  <c r="M64" i="1" s="1"/>
  <c r="M63" i="1"/>
  <c r="K63" i="1"/>
  <c r="K62" i="1"/>
  <c r="M62" i="1" s="1"/>
  <c r="M61" i="1"/>
  <c r="K61" i="1"/>
  <c r="K60" i="1"/>
  <c r="M60" i="1" s="1"/>
  <c r="M59" i="1"/>
  <c r="K59" i="1"/>
  <c r="K58" i="1"/>
  <c r="M58" i="1" s="1"/>
  <c r="M57" i="1"/>
  <c r="K57" i="1"/>
  <c r="K56" i="1"/>
  <c r="M56" i="1" s="1"/>
  <c r="M55" i="1"/>
  <c r="K55" i="1"/>
  <c r="K54" i="1"/>
  <c r="M54" i="1" s="1"/>
  <c r="K53" i="1"/>
  <c r="M53" i="1" s="1"/>
  <c r="M52" i="1"/>
  <c r="K52" i="1"/>
  <c r="K51" i="1"/>
  <c r="M51" i="1" s="1"/>
  <c r="M50" i="1"/>
  <c r="K50" i="1"/>
  <c r="K49" i="1"/>
  <c r="M49" i="1" s="1"/>
  <c r="M48" i="1"/>
  <c r="K48" i="1"/>
  <c r="K47" i="1"/>
  <c r="M47" i="1" s="1"/>
  <c r="M46" i="1"/>
  <c r="K46" i="1"/>
  <c r="K45" i="1"/>
  <c r="M45" i="1" s="1"/>
  <c r="M44" i="1"/>
  <c r="K44" i="1"/>
  <c r="K43" i="1"/>
  <c r="M43" i="1" s="1"/>
  <c r="M42" i="1"/>
  <c r="K42" i="1"/>
  <c r="K41" i="1"/>
  <c r="M41" i="1" s="1"/>
  <c r="M40" i="1"/>
  <c r="K40" i="1"/>
  <c r="K39" i="1"/>
  <c r="M39" i="1" s="1"/>
  <c r="M38" i="1"/>
  <c r="K38" i="1"/>
  <c r="K37" i="1"/>
  <c r="M37" i="1" s="1"/>
  <c r="M36" i="1"/>
  <c r="K36" i="1"/>
  <c r="K35" i="1"/>
  <c r="M35" i="1" s="1"/>
  <c r="M34" i="1"/>
  <c r="K34" i="1"/>
  <c r="K33" i="1"/>
  <c r="M33" i="1" s="1"/>
  <c r="M32" i="1"/>
  <c r="K32" i="1"/>
  <c r="K31" i="1"/>
  <c r="M31" i="1" s="1"/>
  <c r="M30" i="1"/>
  <c r="K30" i="1"/>
  <c r="K29" i="1"/>
  <c r="M29" i="1" s="1"/>
  <c r="M28" i="1"/>
  <c r="K28" i="1"/>
  <c r="K27" i="1"/>
  <c r="M27" i="1" s="1"/>
  <c r="M26" i="1"/>
  <c r="K26" i="1"/>
  <c r="K25" i="1"/>
  <c r="M25" i="1" s="1"/>
  <c r="M24" i="1"/>
  <c r="K24" i="1"/>
  <c r="K23" i="1"/>
  <c r="M23" i="1" s="1"/>
  <c r="M22" i="1"/>
  <c r="K22" i="1"/>
  <c r="K21" i="1"/>
  <c r="M21" i="1" s="1"/>
  <c r="M20" i="1"/>
  <c r="K20" i="1"/>
  <c r="K19" i="1"/>
  <c r="M19" i="1" s="1"/>
  <c r="M18" i="1"/>
  <c r="K18" i="1"/>
  <c r="K17" i="1"/>
  <c r="M17" i="1" s="1"/>
  <c r="M16" i="1"/>
  <c r="K16" i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K15" i="1"/>
  <c r="M15" i="1" s="1"/>
  <c r="A15" i="1"/>
  <c r="M14" i="1"/>
  <c r="K1" i="1" s="1"/>
  <c r="K14" i="1"/>
  <c r="J13" i="1"/>
  <c r="I13" i="1"/>
  <c r="H13" i="1"/>
  <c r="G13" i="1"/>
  <c r="F13" i="1"/>
  <c r="E13" i="1"/>
  <c r="D13" i="1"/>
  <c r="J12" i="1"/>
  <c r="I12" i="1"/>
  <c r="H12" i="1"/>
  <c r="G12" i="1"/>
  <c r="F12" i="1"/>
  <c r="E12" i="1"/>
  <c r="D12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<sst xmlns="http://schemas.openxmlformats.org/spreadsheetml/2006/main" count="269" uniqueCount="155">
  <si>
    <t>NOMBRE</t>
  </si>
  <si>
    <t>SAN JOSE</t>
  </si>
  <si>
    <t>C O N T A C T O - D I R E C T O</t>
  </si>
  <si>
    <t>ARMANDO LIMON</t>
  </si>
  <si>
    <t>D I R E C C I Ó N</t>
  </si>
  <si>
    <t>T E L E F O N O ( S )</t>
  </si>
  <si>
    <t>33 10479428</t>
  </si>
  <si>
    <t xml:space="preserve">SEMANA </t>
  </si>
  <si>
    <t>PERIODO</t>
  </si>
  <si>
    <t>armando_limons@hotmail.com</t>
  </si>
  <si>
    <t>F E C H A     Y      H O R A    D E     E N T R E G A</t>
  </si>
  <si>
    <t>N°</t>
  </si>
  <si>
    <t>DESCRIPCIÓN DEL ARTÍCULO</t>
  </si>
  <si>
    <t>UNIDAD</t>
  </si>
  <si>
    <t>DÍAS DE SEMANA</t>
  </si>
  <si>
    <t>CANTIDAD
TOTAL</t>
  </si>
  <si>
    <t>PRECIO UNITARIO</t>
  </si>
  <si>
    <t>PEDIDO  TOTAL</t>
  </si>
  <si>
    <t>KG.</t>
  </si>
  <si>
    <t>BULTO</t>
  </si>
  <si>
    <t>Pza</t>
  </si>
  <si>
    <t>PAQUETE</t>
  </si>
  <si>
    <t>frasco</t>
  </si>
  <si>
    <t>Paquete</t>
  </si>
  <si>
    <t>Bote</t>
  </si>
  <si>
    <t>Galón</t>
  </si>
  <si>
    <t xml:space="preserve">Ablandador </t>
  </si>
  <si>
    <t>Aceite</t>
  </si>
  <si>
    <t>bidon</t>
  </si>
  <si>
    <t>Ácido cítrico</t>
  </si>
  <si>
    <t>Ajinomoto bolsa 1 kg</t>
  </si>
  <si>
    <t>Ajo entero gde</t>
  </si>
  <si>
    <t>Ajo entero mediano</t>
  </si>
  <si>
    <t>Ajo molido</t>
  </si>
  <si>
    <t>Ajonjoli natural</t>
  </si>
  <si>
    <t>Ajonjoli negro</t>
  </si>
  <si>
    <t>Almendra</t>
  </si>
  <si>
    <t>Almendra fileteada</t>
  </si>
  <si>
    <t>Alubia chica</t>
  </si>
  <si>
    <t>Amaranto miel</t>
  </si>
  <si>
    <t>Amaranto natural</t>
  </si>
  <si>
    <t>Anís estrella</t>
  </si>
  <si>
    <t xml:space="preserve">Arandano </t>
  </si>
  <si>
    <t xml:space="preserve">Arroz Sinaloa </t>
  </si>
  <si>
    <t>Avena</t>
  </si>
  <si>
    <t xml:space="preserve">Azucar  </t>
  </si>
  <si>
    <t>Azucar Glass 5kg</t>
  </si>
  <si>
    <t>Cacahuate Japones</t>
  </si>
  <si>
    <t>Cacahuate pelado</t>
  </si>
  <si>
    <t>Camarón seco chico</t>
  </si>
  <si>
    <t>Canela entera C5</t>
  </si>
  <si>
    <t>Capacillo No. 73 blanco</t>
  </si>
  <si>
    <t>Carbonato</t>
  </si>
  <si>
    <t>Cebada para agua 500g</t>
  </si>
  <si>
    <t>cereal chococrispis</t>
  </si>
  <si>
    <t>cereal froot loops</t>
  </si>
  <si>
    <t>cereal natural</t>
  </si>
  <si>
    <t>cereal zucaritas</t>
  </si>
  <si>
    <t>Chia</t>
  </si>
  <si>
    <t>Chilacate</t>
  </si>
  <si>
    <t xml:space="preserve">Chile Ancho </t>
  </si>
  <si>
    <t xml:space="preserve">Chile Arbol en polvo </t>
  </si>
  <si>
    <t xml:space="preserve">Chile Arbol sin cabo </t>
  </si>
  <si>
    <t>Chile Cascabel</t>
  </si>
  <si>
    <t>Chile Chipotle</t>
  </si>
  <si>
    <t xml:space="preserve">Chile Mirasol  </t>
  </si>
  <si>
    <t>Chile Morita</t>
  </si>
  <si>
    <t>Chile Mulato</t>
  </si>
  <si>
    <t>Chile Pasilla</t>
  </si>
  <si>
    <t xml:space="preserve">Chile Tajin </t>
  </si>
  <si>
    <t>Chispas de chocolate BLANCO</t>
  </si>
  <si>
    <t>Chispas de chocolate OSCURO</t>
  </si>
  <si>
    <t>Chocomik en polvo</t>
  </si>
  <si>
    <t>Ciruela pasa s/h</t>
  </si>
  <si>
    <t>Clavo entero</t>
  </si>
  <si>
    <t>Cobertura para pan 5kg</t>
  </si>
  <si>
    <t>Coco dorado</t>
  </si>
  <si>
    <t>Coco rayado</t>
  </si>
  <si>
    <t>Cocoa  comercial</t>
  </si>
  <si>
    <t xml:space="preserve">Cocoa negra española  </t>
  </si>
  <si>
    <t>Colorante verde en polvo</t>
  </si>
  <si>
    <t>Comino entero</t>
  </si>
  <si>
    <t>Consomé de barbacoa</t>
  </si>
  <si>
    <t xml:space="preserve">Consomé de Pollo Cucú </t>
  </si>
  <si>
    <t>Consomé de Pollo estándar</t>
  </si>
  <si>
    <t>Consomé de res</t>
  </si>
  <si>
    <t>Curry</t>
  </si>
  <si>
    <t>Escencia de fresa 1L</t>
  </si>
  <si>
    <t>litro</t>
  </si>
  <si>
    <t>Escencia de mantequilla 1L</t>
  </si>
  <si>
    <t>Escencia de piña 1L</t>
  </si>
  <si>
    <t>Flan en polvo 875 gm</t>
  </si>
  <si>
    <t>Frijol negro</t>
  </si>
  <si>
    <t>Frijol peruano blanco</t>
  </si>
  <si>
    <t>Frijol peruano Higuera 1a</t>
  </si>
  <si>
    <t>Garbanza</t>
  </si>
  <si>
    <t>Gragea de Colores</t>
  </si>
  <si>
    <t>Granillo blanco</t>
  </si>
  <si>
    <t xml:space="preserve">Granillo color </t>
  </si>
  <si>
    <t>Granillo de chocolate</t>
  </si>
  <si>
    <t>Granillo de Colores</t>
  </si>
  <si>
    <t xml:space="preserve">Granola </t>
  </si>
  <si>
    <t>Grenetina Duche</t>
  </si>
  <si>
    <t>Haba</t>
  </si>
  <si>
    <t>Harina de trigo tradicional</t>
  </si>
  <si>
    <t>10 kg</t>
  </si>
  <si>
    <t>Hierbas finas</t>
  </si>
  <si>
    <t>Hojuela de papa</t>
  </si>
  <si>
    <t xml:space="preserve">Huevo </t>
  </si>
  <si>
    <t>Jamaica Colima</t>
  </si>
  <si>
    <t>Jengibre entero seco</t>
  </si>
  <si>
    <t>Lenteja ch</t>
  </si>
  <si>
    <t>Levadura Seca 500g</t>
  </si>
  <si>
    <t>Linaza</t>
  </si>
  <si>
    <t>Maicena</t>
  </si>
  <si>
    <t>Maicena de coco</t>
  </si>
  <si>
    <t>Maiz para pozole</t>
  </si>
  <si>
    <t>Manteca Vegetal  Cristal</t>
  </si>
  <si>
    <t>Mejorana</t>
  </si>
  <si>
    <t>Mejorante para pan dulce 440g</t>
  </si>
  <si>
    <t>Mejorante para pan salado 440g</t>
  </si>
  <si>
    <t xml:space="preserve">Miel maple 4L </t>
  </si>
  <si>
    <t>Molde jericalla c/50</t>
  </si>
  <si>
    <t>Nuez en mitad</t>
  </si>
  <si>
    <t>Nuez Granillo</t>
  </si>
  <si>
    <t>Oregano</t>
  </si>
  <si>
    <t>Páprika</t>
  </si>
  <si>
    <t>Pasa chica</t>
  </si>
  <si>
    <t>Pasa grande</t>
  </si>
  <si>
    <t xml:space="preserve">Piloncillo  </t>
  </si>
  <si>
    <t>Pimienta blanca entera</t>
  </si>
  <si>
    <t>Pimienta blanca molida</t>
  </si>
  <si>
    <t>Pimienta negra entera</t>
  </si>
  <si>
    <t>Pimienta negra molida</t>
  </si>
  <si>
    <t>Pipian colorado</t>
  </si>
  <si>
    <t xml:space="preserve">Polvo de Camaron </t>
  </si>
  <si>
    <t>Relleno horneable de fresa</t>
  </si>
  <si>
    <t>Royal</t>
  </si>
  <si>
    <t>Sal de ajo</t>
  </si>
  <si>
    <t>Salvado de trigo</t>
  </si>
  <si>
    <t xml:space="preserve">Semilla de calabaza pelada </t>
  </si>
  <si>
    <t xml:space="preserve">Semilla de cilantro </t>
  </si>
  <si>
    <t>Semilla de girasol pelada</t>
  </si>
  <si>
    <t>Soya</t>
  </si>
  <si>
    <t>Tableta chocolate semiamargo</t>
  </si>
  <si>
    <t>Tapioca</t>
  </si>
  <si>
    <t>Tomillo</t>
  </si>
  <si>
    <t>Harina de hot cakes</t>
  </si>
  <si>
    <t>Jamaica Sudan</t>
  </si>
  <si>
    <t>Sal en grano</t>
  </si>
  <si>
    <t>Sal molida</t>
  </si>
  <si>
    <t>Frijol Texano</t>
  </si>
  <si>
    <t>ORDENES DE COMPRA</t>
  </si>
  <si>
    <t>Hoja de Laurel</t>
  </si>
  <si>
    <t>Tamarindo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</si>
</sst>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dd"/>
    <numFmt numFmtId="165" formatCode="_-[$€]* #,##0.00_-;\-[$€]* #,##0.00_-;_-[$€]* &quot;-&quot;??_-;_-@_-"/>
    <numFmt numFmtId="166" formatCode="[$-80A]General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color rgb="FF000000"/>
      <name val="Arial11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" fillId="0" borderId="0">
      <alignment shrinkToFit="1"/>
    </xf>
    <xf numFmtId="0" fontId="1" fillId="0" borderId="0"/>
    <xf numFmtId="0" fontId="1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166" fontId="14" fillId="0" borderId="0"/>
    <xf numFmtId="166" fontId="14" fillId="0" borderId="0"/>
    <xf numFmtId="0" fontId="15" fillId="0" borderId="0"/>
    <xf numFmtId="0" fontId="12" fillId="0" borderId="0"/>
    <xf numFmtId="0" fontId="12" fillId="0" borderId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1" fillId="0" borderId="15" xfId="0" applyFont="1" applyBorder="1" applyProtection="1">
      <protection locked="0"/>
    </xf>
    <xf numFmtId="0" fontId="10" fillId="0" borderId="15" xfId="1" applyFont="1" applyBorder="1" applyAlignment="1" applyProtection="1">
      <alignment horizontal="center" vertical="center"/>
      <protection locked="0"/>
    </xf>
    <xf numFmtId="0" fontId="10" fillId="0" borderId="16" xfId="1" applyFont="1" applyBorder="1" applyAlignment="1" applyProtection="1">
      <alignment horizontal="center" vertical="center"/>
      <protection locked="0"/>
    </xf>
    <xf numFmtId="44" fontId="10" fillId="0" borderId="16" xfId="1" applyNumberFormat="1" applyFont="1" applyBorder="1" applyAlignment="1" applyProtection="1">
      <alignment horizontal="center" vertical="center"/>
      <protection locked="0"/>
    </xf>
    <xf numFmtId="44" fontId="10" fillId="0" borderId="15" xfId="1" applyNumberFormat="1" applyFont="1" applyBorder="1" applyAlignment="1" applyProtection="1">
      <alignment horizontal="center" vertical="center"/>
      <protection locked="0"/>
    </xf>
    <xf numFmtId="0" fontId="11" fillId="0" borderId="15" xfId="0" applyFont="1" applyBorder="1" applyAlignment="1" applyProtection="1">
      <alignment horizontal="center"/>
      <protection locked="0"/>
    </xf>
    <xf numFmtId="44" fontId="10" fillId="7" borderId="15" xfId="1" applyNumberFormat="1" applyFont="1" applyFill="1" applyBorder="1" applyAlignment="1" applyProtection="1">
      <alignment horizontal="center" vertical="center"/>
      <protection locked="0"/>
    </xf>
    <xf numFmtId="0" fontId="10" fillId="0" borderId="16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4" fontId="10" fillId="5" borderId="16" xfId="0" applyNumberFormat="1" applyFont="1" applyFill="1" applyBorder="1" applyAlignment="1">
      <alignment shrinkToFit="1"/>
    </xf>
    <xf numFmtId="4" fontId="10" fillId="5" borderId="15" xfId="0" applyNumberFormat="1" applyFont="1" applyFill="1" applyBorder="1" applyAlignment="1">
      <alignment shrinkToFit="1"/>
    </xf>
    <xf numFmtId="4" fontId="10" fillId="0" borderId="15" xfId="0" applyNumberFormat="1" applyFont="1" applyBorder="1" applyAlignment="1">
      <alignment shrinkToFit="1"/>
    </xf>
    <xf numFmtId="44" fontId="10" fillId="8" borderId="15" xfId="1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/>
    <xf numFmtId="0" fontId="0" fillId="0" borderId="7" xfId="0" applyBorder="1"/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164" fontId="9" fillId="0" borderId="14" xfId="2" applyNumberFormat="1" applyFont="1" applyBorder="1" applyAlignment="1">
      <alignment horizontal="center" vertical="top"/>
    </xf>
    <xf numFmtId="44" fontId="8" fillId="0" borderId="16" xfId="1" applyNumberFormat="1" applyFont="1" applyBorder="1" applyAlignment="1">
      <alignment horizontal="center" vertical="center"/>
    </xf>
    <xf numFmtId="44" fontId="8" fillId="0" borderId="15" xfId="1" applyNumberFormat="1" applyFont="1" applyBorder="1" applyAlignment="1">
      <alignment horizontal="center" vertical="center"/>
    </xf>
    <xf numFmtId="44" fontId="10" fillId="6" borderId="15" xfId="1" applyNumberFormat="1" applyFont="1" applyFill="1" applyBorder="1" applyAlignment="1" applyProtection="1">
      <alignment horizontal="center" vertical="center"/>
      <protection locked="0"/>
    </xf>
    <xf numFmtId="0" fontId="4" fillId="4" borderId="8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5" borderId="9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 applyProtection="1">
      <alignment horizontal="center" vertical="center"/>
      <protection locked="0"/>
    </xf>
    <xf numFmtId="0" fontId="4" fillId="4" borderId="10" xfId="1" applyFont="1" applyFill="1" applyBorder="1" applyAlignment="1" applyProtection="1">
      <alignment horizontal="center" vertical="center"/>
      <protection locked="0"/>
    </xf>
    <xf numFmtId="0" fontId="4" fillId="4" borderId="9" xfId="1" applyFont="1" applyFill="1" applyBorder="1" applyAlignment="1" applyProtection="1">
      <alignment horizontal="center" vertical="center" wrapText="1"/>
      <protection locked="0"/>
    </xf>
    <xf numFmtId="0" fontId="4" fillId="4" borderId="10" xfId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4" fontId="3" fillId="3" borderId="4" xfId="0" applyNumberFormat="1" applyFont="1" applyFill="1" applyBorder="1" applyAlignment="1">
      <alignment horizontal="center"/>
    </xf>
    <xf numFmtId="44" fontId="3" fillId="3" borderId="2" xfId="0" applyNumberFormat="1" applyFont="1" applyFill="1" applyBorder="1" applyAlignment="1">
      <alignment horizontal="center"/>
    </xf>
    <xf numFmtId="44" fontId="3" fillId="3" borderId="5" xfId="0" applyNumberFormat="1" applyFont="1" applyFill="1" applyBorder="1" applyAlignment="1">
      <alignment horizontal="center"/>
    </xf>
    <xf numFmtId="0" fontId="4" fillId="0" borderId="9" xfId="1" applyFont="1" applyBorder="1" applyAlignment="1" applyProtection="1">
      <alignment horizontal="center" vertical="center"/>
      <protection locked="0"/>
    </xf>
    <xf numFmtId="0" fontId="4" fillId="0" borderId="10" xfId="1" applyFont="1" applyBorder="1" applyAlignment="1" applyProtection="1">
      <alignment horizontal="center" vertical="center"/>
      <protection locked="0"/>
    </xf>
    <xf numFmtId="0" fontId="1" fillId="0" borderId="9" xfId="3" applyBorder="1" applyAlignment="1" applyProtection="1">
      <alignment horizontal="center" vertical="center" wrapText="1"/>
      <protection locked="0"/>
    </xf>
    <xf numFmtId="0" fontId="5" fillId="0" borderId="9" xfId="1" applyFont="1" applyBorder="1" applyAlignment="1" applyProtection="1">
      <alignment horizontal="center" vertical="center" wrapText="1"/>
      <protection locked="0"/>
    </xf>
    <xf numFmtId="0" fontId="5" fillId="0" borderId="10" xfId="1" applyFont="1" applyBorder="1" applyAlignment="1" applyProtection="1">
      <alignment horizontal="center" vertical="center" wrapText="1"/>
      <protection locked="0"/>
    </xf>
    <xf numFmtId="0" fontId="5" fillId="0" borderId="12" xfId="1" applyFont="1" applyBorder="1" applyAlignment="1" applyProtection="1">
      <alignment horizontal="center" vertical="center" wrapText="1"/>
      <protection locked="0"/>
    </xf>
    <xf numFmtId="0" fontId="5" fillId="0" borderId="13" xfId="1" applyFont="1" applyBorder="1" applyAlignment="1" applyProtection="1">
      <alignment horizontal="center" vertical="center" wrapText="1"/>
      <protection locked="0"/>
    </xf>
    <xf numFmtId="0" fontId="4" fillId="4" borderId="11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18" fontId="6" fillId="6" borderId="12" xfId="1" applyNumberFormat="1" applyFont="1" applyFill="1" applyBorder="1" applyAlignment="1" applyProtection="1">
      <alignment horizontal="center" vertical="center"/>
      <protection locked="0"/>
    </xf>
    <xf numFmtId="0" fontId="4" fillId="7" borderId="14" xfId="1" applyFont="1" applyFill="1" applyBorder="1" applyAlignment="1">
      <alignment horizontal="center" vertical="center" wrapText="1"/>
    </xf>
    <xf numFmtId="0" fontId="4" fillId="7" borderId="14" xfId="1" applyFont="1" applyFill="1" applyBorder="1" applyAlignment="1">
      <alignment horizontal="center" vertical="center"/>
    </xf>
  </cellXfs>
  <cellStyles count="25">
    <cellStyle name="Currency 2" xfId="11" xr:uid="{86F98308-FE7F-448B-BF38-D7894F378ECF}"/>
    <cellStyle name="Currency 2 2" xfId="22" xr:uid="{DF92A140-8ADA-44C1-9580-507052CF206D}"/>
    <cellStyle name="Currency 3" xfId="12" xr:uid="{AF4F023A-BAB1-4F86-B925-10951A7EF9D2}"/>
    <cellStyle name="Currency 3 2" xfId="23" xr:uid="{B39E20F2-19F0-4CD0-A3DE-BF5EF9CD9C14}"/>
    <cellStyle name="Euro" xfId="7" xr:uid="{9F7995B4-2AFE-4CAD-80AE-31CB03D18C43}"/>
    <cellStyle name="Excel Built-in Normal 1" xfId="14" xr:uid="{8AD1B6DC-E73C-4ECB-865E-79F159139096}"/>
    <cellStyle name="Excel Built-in Normal 2" xfId="15" xr:uid="{E6ED8E13-4D5F-441A-98C0-7C956203F0E0}"/>
    <cellStyle name="Hipervínculo 2" xfId="3" xr:uid="{2F64D595-B44D-4DE8-8BA0-D9C13C6889C3}"/>
    <cellStyle name="Moneda 2" xfId="8" xr:uid="{0D13270D-81EC-48CF-858E-540D7A17E39C}"/>
    <cellStyle name="Moneda 2 2" xfId="5" xr:uid="{E72F451B-4E81-4858-AC94-21212AC4232A}"/>
    <cellStyle name="Moneda 2 2 2" xfId="20" xr:uid="{AC467999-5DFE-4B6B-922D-9CA30B81BF2A}"/>
    <cellStyle name="Moneda 2 3" xfId="21" xr:uid="{B67FAD2A-FEE3-47D0-B639-99EDAB883759}"/>
    <cellStyle name="Moneda 3" xfId="4" xr:uid="{95C4EC3B-FA01-4BE9-961C-7624DEADF065}"/>
    <cellStyle name="Moneda 3 2" xfId="24" xr:uid="{70589577-9EF2-45B8-A1C2-A2A08BCDF679}"/>
    <cellStyle name="Moneda 4" xfId="19" xr:uid="{31D118E9-6EE2-4B67-9F8D-4B66C3AD8A34}"/>
    <cellStyle name="Normal" xfId="0" builtinId="0"/>
    <cellStyle name="Normal 2" xfId="1" xr:uid="{38B333D0-0742-4232-B4C1-718793387B0B}"/>
    <cellStyle name="Normal 2 2" xfId="18" xr:uid="{00AD9395-1310-42B2-AC6A-199E718C60BC}"/>
    <cellStyle name="Normal 3" xfId="6" xr:uid="{2F87AF40-E261-4B60-A813-E72FDD34C6E7}"/>
    <cellStyle name="Normal 3 2" xfId="17" xr:uid="{51275A7D-2366-4BB5-9734-128E6791D040}"/>
    <cellStyle name="Normal 4" xfId="10" xr:uid="{AD7C5E61-7178-4DFF-A9C2-EFC4DD006A3C}"/>
    <cellStyle name="Normal 4 2" xfId="16" xr:uid="{01A01432-FFB3-45A0-A488-7B438DA8CE69}"/>
    <cellStyle name="Normal 5" xfId="13" xr:uid="{EFD1329D-0B43-433C-BCB7-D29B1BF58F26}"/>
    <cellStyle name="Normal_REPORTE DE ASISTENCIA-NÓMINA GMS 2" xfId="2" xr:uid="{1FA712A5-BD2C-484D-B30C-D446B6125AFC}"/>
    <cellStyle name="Porcentaje 2" xfId="9" xr:uid="{A2094389-388D-4F27-A2A7-3526B58EF7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31752</xdr:rowOff>
    </xdr:from>
    <xdr:to>
      <xdr:col>1</xdr:col>
      <xdr:colOff>1017058</xdr:colOff>
      <xdr:row>2</xdr:row>
      <xdr:rowOff>147373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C41E38B-A570-4153-9518-FAA468A97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BD43FB-CA9A-404C-A62E-001C2E1D7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39366514-C2F6-46D7-AC1B-8E58484EB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2FB16830-F7FE-48D7-A1CF-08CCBFF78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6DDB9E35-8C5A-4F73-AB1B-F13ED0D0C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C98489D3-BC4A-4069-8548-4C97B975E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EC36426-1CD2-4B52-8306-B5C2F0739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4DE9C26E-C154-4E21-860F-BCE6AED65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FBDC6E3E-BB82-4A7C-82E2-CBD1990CD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D14B57E3-C496-43BA-877E-E10941566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70D31608-DEBD-4825-B513-62258088A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B1B1793C-ED8A-4E56-855F-B501E3994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3407EEEB-66A9-4F69-8288-543A013BB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78E66C2-E1FF-4544-AD24-2A73AFD18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C5D7E63E-FE97-4B5C-B905-079605CBE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A0237261-13BA-4564-B2D9-3079FB79A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532C6F87-CE58-4F57-BC1E-CF6721C4D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B3FAEEFE-7DBF-474C-883D-EC50BF601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7FAC810A-555C-4E09-94BB-B3C8AA85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BBE6FD34-20DE-4C7C-A1E8-276C58FC4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9AF9E928-A748-454F-BFC2-4966ED67C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89A329F7-CA7F-41BE-8445-17046CB52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24" name="Picture 2">
          <a:extLst>
            <a:ext uri="{FF2B5EF4-FFF2-40B4-BE49-F238E27FC236}">
              <a16:creationId xmlns:a16="http://schemas.microsoft.com/office/drawing/2014/main" id="{E55EFE04-BDD7-4FBC-9F94-764E753AF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25" name="Picture 2">
          <a:extLst>
            <a:ext uri="{FF2B5EF4-FFF2-40B4-BE49-F238E27FC236}">
              <a16:creationId xmlns:a16="http://schemas.microsoft.com/office/drawing/2014/main" id="{94768439-7FE6-46C7-B474-2CC392CEB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26" name="Picture 2">
          <a:extLst>
            <a:ext uri="{FF2B5EF4-FFF2-40B4-BE49-F238E27FC236}">
              <a16:creationId xmlns:a16="http://schemas.microsoft.com/office/drawing/2014/main" id="{E27673E4-244C-4358-B6F8-3BC4B52D4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C00A9F40-BF62-48BF-AE87-6082EC904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A065616D-9787-41DF-85DD-0012E7F1F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BDECCF43-1BAA-4BEF-8DE8-E64739CC9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E79D5923-F242-4637-BFEE-3BD103E66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31" name="Picture 2">
          <a:extLst>
            <a:ext uri="{FF2B5EF4-FFF2-40B4-BE49-F238E27FC236}">
              <a16:creationId xmlns:a16="http://schemas.microsoft.com/office/drawing/2014/main" id="{D36C26DE-D943-4680-B035-76DB1E097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C15C0684-B28D-4546-91FE-65AD100C6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9F8C37B4-E2E6-494C-8AFF-A4D51285F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FF73C1BE-8A35-47AA-9C4E-578752580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301CBB50-897E-46AF-9A41-3487CB36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B68DFCA7-305B-4CF6-8644-927FA7A12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9F670B74-1160-47DD-BEF2-909B7FE18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EB552B4C-9B42-4C64-92A3-0EB10B052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39" name="Picture 2">
          <a:extLst>
            <a:ext uri="{FF2B5EF4-FFF2-40B4-BE49-F238E27FC236}">
              <a16:creationId xmlns:a16="http://schemas.microsoft.com/office/drawing/2014/main" id="{1AE800B6-6D7F-41B0-8A6E-BE72C20FF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2248C68E-D980-41C9-9C1E-73E370B16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41" name="Picture 2">
          <a:extLst>
            <a:ext uri="{FF2B5EF4-FFF2-40B4-BE49-F238E27FC236}">
              <a16:creationId xmlns:a16="http://schemas.microsoft.com/office/drawing/2014/main" id="{EAF57789-24E8-47C0-905B-98FF589E1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1FD05C8F-4397-4D85-822B-54F03B98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ix/Desktop/BIMBO/ordenes%20de%20compra/OP/ORD.%20DE%20COMPRA%20BIMBO%20%204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HOA"/>
      <sheetName val="RAYA"/>
      <sheetName val="LICA"/>
      <sheetName val="FRULEFI"/>
      <sheetName val="RES"/>
      <sheetName val="CHI"/>
      <sheetName val="CRE"/>
      <sheetName val="PESCADO"/>
      <sheetName val="AL DIA"/>
      <sheetName val="HUERTA"/>
      <sheetName val="PRIMO"/>
      <sheetName val="CHARLY"/>
      <sheetName val="T. ABUELOS"/>
      <sheetName val="T. MENDEZ"/>
      <sheetName val="LETTY"/>
      <sheetName val="BETTY"/>
      <sheetName val="HIELO"/>
      <sheetName val="LEMBEC"/>
      <sheetName val="COGAR"/>
      <sheetName val="PULPASTIC"/>
      <sheetName val="GUACAMOLE"/>
      <sheetName val="GALO"/>
      <sheetName val="BIMBO"/>
      <sheetName val="COCA"/>
      <sheetName val="PEPSI"/>
      <sheetName val="BOING"/>
      <sheetName val="YAZTEA"/>
      <sheetName val="SABRITAS"/>
      <sheetName val="DONUTS"/>
      <sheetName val="GAS "/>
      <sheetName val="COFFE SITE"/>
      <sheetName val="BOTANAS"/>
      <sheetName val="Resumen"/>
      <sheetName val="MENU DE LA SEMANA"/>
      <sheetName val="Hoja1"/>
    </sheetNames>
    <sheetDataSet>
      <sheetData sheetId="0">
        <row r="3">
          <cell r="D3" t="str">
            <v>ERICK MARTINEZ</v>
          </cell>
        </row>
        <row r="4">
          <cell r="D4" t="str">
            <v>BIMBO</v>
          </cell>
        </row>
        <row r="5">
          <cell r="D5" t="str">
            <v>Base Aérea 90, san juan de ocotan Zapopan</v>
          </cell>
        </row>
        <row r="6">
          <cell r="D6">
            <v>3312125831</v>
          </cell>
        </row>
        <row r="7">
          <cell r="D7">
            <v>45</v>
          </cell>
        </row>
        <row r="8">
          <cell r="D8" t="str">
            <v>DEL 8 AL 14 DE NOVIEMBRE</v>
          </cell>
        </row>
        <row r="9">
          <cell r="D9" t="str">
            <v>DE LAS 7:00 AM A 11:00 AM</v>
          </cell>
        </row>
        <row r="12">
          <cell r="D12" t="str">
            <v>LUN</v>
          </cell>
          <cell r="E12" t="str">
            <v>MAR</v>
          </cell>
          <cell r="F12" t="str">
            <v>MIE</v>
          </cell>
          <cell r="G12" t="str">
            <v>JUE</v>
          </cell>
          <cell r="H12" t="str">
            <v>VIE</v>
          </cell>
          <cell r="I12" t="str">
            <v>SAB</v>
          </cell>
          <cell r="J12" t="str">
            <v>DOM</v>
          </cell>
        </row>
        <row r="13">
          <cell r="D13">
            <v>44508</v>
          </cell>
          <cell r="E13">
            <v>44509</v>
          </cell>
          <cell r="F13">
            <v>44510</v>
          </cell>
          <cell r="G13">
            <v>44511</v>
          </cell>
          <cell r="H13">
            <v>44512</v>
          </cell>
          <cell r="I13">
            <v>44513</v>
          </cell>
          <cell r="J13">
            <v>44514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rmando_limon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9EA6-C1C6-4107-A15A-91AC06E2C08F}">
  <dimension ref="A1:M138"/>
  <sheetViews>
    <sheetView tabSelected="1" zoomScale="85" zoomScaleNormal="85" workbookViewId="0">
      <selection sqref="A1:XFD1048576"/>
    </sheetView>
  </sheetViews>
  <sheetFormatPr baseColWidth="10" defaultColWidth="10.85546875" defaultRowHeight="15"/>
  <cols>
    <col min="1" max="1" width="5.85546875" style="2" customWidth="1"/>
    <col min="2" max="2" width="38.140625" style="2" customWidth="1"/>
    <col min="3" max="3" width="13.140625" style="2" customWidth="1"/>
    <col min="4" max="4" width="8" style="1" customWidth="1"/>
    <col min="5" max="10" width="8" style="2" customWidth="1"/>
    <col min="11" max="11" width="10.85546875" style="2"/>
    <col min="12" max="12" width="10.28515625" style="2" customWidth="1"/>
    <col min="13" max="13" width="10.85546875" style="2"/>
    <col min="14" max="14" width="2.7109375" style="2" customWidth="1"/>
    <col min="15" max="16384" width="10.85546875" style="2"/>
  </cols>
  <sheetData>
    <row r="1" spans="1:13" ht="26.25">
      <c r="A1" s="34" t="s">
        <v>152</v>
      </c>
      <c r="B1" s="35"/>
      <c r="C1" s="35"/>
      <c r="D1" s="35"/>
      <c r="E1" s="35"/>
      <c r="F1" s="35"/>
      <c r="G1" s="35"/>
      <c r="H1" s="35"/>
      <c r="I1" s="35"/>
      <c r="J1" s="36"/>
      <c r="K1" s="37">
        <f>SUM(M14:M138)</f>
        <v>5193.5999999999995</v>
      </c>
      <c r="L1" s="38"/>
      <c r="M1" s="39"/>
    </row>
    <row r="2" spans="1:13">
      <c r="A2" s="18"/>
      <c r="D2" s="2"/>
      <c r="M2" s="19"/>
    </row>
    <row r="3" spans="1:13" ht="15" customHeight="1">
      <c r="A3" s="27" t="s">
        <v>0</v>
      </c>
      <c r="B3" s="28"/>
      <c r="C3" s="28"/>
      <c r="D3" s="29" t="str">
        <f>[1]OCHOA!D3:J3</f>
        <v>ERICK MARTINEZ</v>
      </c>
      <c r="E3" s="29"/>
      <c r="F3" s="29"/>
      <c r="G3" s="29"/>
      <c r="H3" s="29"/>
      <c r="I3" s="29"/>
      <c r="J3" s="29"/>
      <c r="K3" s="30" t="s">
        <v>1</v>
      </c>
      <c r="L3" s="30"/>
      <c r="M3" s="31"/>
    </row>
    <row r="4" spans="1:13">
      <c r="A4" s="27" t="s">
        <v>2</v>
      </c>
      <c r="B4" s="28"/>
      <c r="C4" s="28"/>
      <c r="D4" s="29" t="str">
        <f>[1]OCHOA!D4:J4</f>
        <v>BIMBO</v>
      </c>
      <c r="E4" s="29"/>
      <c r="F4" s="29"/>
      <c r="G4" s="29"/>
      <c r="H4" s="29"/>
      <c r="I4" s="29"/>
      <c r="J4" s="29"/>
      <c r="K4" s="32" t="s">
        <v>3</v>
      </c>
      <c r="L4" s="32"/>
      <c r="M4" s="33"/>
    </row>
    <row r="5" spans="1:13" ht="15" customHeight="1">
      <c r="A5" s="27" t="s">
        <v>4</v>
      </c>
      <c r="B5" s="28"/>
      <c r="C5" s="28"/>
      <c r="D5" s="29" t="str">
        <f>[1]OCHOA!D5:J5</f>
        <v>Base Aérea 90, san juan de ocotan Zapopan</v>
      </c>
      <c r="E5" s="29"/>
      <c r="F5" s="29"/>
      <c r="G5" s="29"/>
      <c r="H5" s="29"/>
      <c r="I5" s="29"/>
      <c r="J5" s="29"/>
      <c r="K5" s="32"/>
      <c r="L5" s="32"/>
      <c r="M5" s="33"/>
    </row>
    <row r="6" spans="1:13">
      <c r="A6" s="27" t="s">
        <v>5</v>
      </c>
      <c r="B6" s="28"/>
      <c r="C6" s="28"/>
      <c r="D6" s="29">
        <f>[1]OCHOA!D6:J6</f>
        <v>3312125831</v>
      </c>
      <c r="E6" s="29"/>
      <c r="F6" s="29"/>
      <c r="G6" s="29"/>
      <c r="H6" s="29"/>
      <c r="I6" s="29"/>
      <c r="J6" s="29"/>
      <c r="K6" s="30" t="s">
        <v>6</v>
      </c>
      <c r="L6" s="30"/>
      <c r="M6" s="31"/>
    </row>
    <row r="7" spans="1:13">
      <c r="A7" s="27" t="s">
        <v>7</v>
      </c>
      <c r="B7" s="28"/>
      <c r="C7" s="28"/>
      <c r="D7" s="29">
        <f>[1]OCHOA!D7:J7</f>
        <v>45</v>
      </c>
      <c r="E7" s="29"/>
      <c r="F7" s="29"/>
      <c r="G7" s="29"/>
      <c r="H7" s="29"/>
      <c r="I7" s="29"/>
      <c r="J7" s="29"/>
      <c r="K7" s="40"/>
      <c r="L7" s="40"/>
      <c r="M7" s="41"/>
    </row>
    <row r="8" spans="1:13" ht="15" customHeight="1">
      <c r="A8" s="27" t="s">
        <v>8</v>
      </c>
      <c r="B8" s="28"/>
      <c r="C8" s="28"/>
      <c r="D8" s="29" t="str">
        <f>[1]OCHOA!D8:J8</f>
        <v>DEL 8 AL 14 DE NOVIEMBRE</v>
      </c>
      <c r="E8" s="29"/>
      <c r="F8" s="29"/>
      <c r="G8" s="29"/>
      <c r="H8" s="29"/>
      <c r="I8" s="29"/>
      <c r="J8" s="29"/>
      <c r="K8" s="42" t="s">
        <v>9</v>
      </c>
      <c r="L8" s="43"/>
      <c r="M8" s="44"/>
    </row>
    <row r="9" spans="1:13" ht="19.5" customHeight="1" thickBot="1">
      <c r="A9" s="47" t="s">
        <v>10</v>
      </c>
      <c r="B9" s="48"/>
      <c r="C9" s="48"/>
      <c r="D9" s="49" t="str">
        <f>[1]OCHOA!D9:J9</f>
        <v>DE LAS 7:00 AM A 11:00 AM</v>
      </c>
      <c r="E9" s="49"/>
      <c r="F9" s="49"/>
      <c r="G9" s="49"/>
      <c r="H9" s="49"/>
      <c r="I9" s="49"/>
      <c r="J9" s="49"/>
      <c r="K9" s="45"/>
      <c r="L9" s="45"/>
      <c r="M9" s="46"/>
    </row>
    <row r="10" spans="1:13" ht="7.5" customHeight="1" thickBot="1">
      <c r="A10" s="20"/>
      <c r="B10" s="20"/>
      <c r="C10" s="21"/>
      <c r="D10" s="21"/>
      <c r="E10" s="20"/>
      <c r="F10" s="20"/>
      <c r="G10" s="20"/>
      <c r="H10" s="20"/>
      <c r="I10" s="20"/>
      <c r="J10" s="20"/>
      <c r="K10" s="20"/>
      <c r="L10" s="20"/>
      <c r="M10" s="20"/>
    </row>
    <row r="11" spans="1:13" ht="15.75" thickBot="1">
      <c r="A11" s="51" t="s">
        <v>11</v>
      </c>
      <c r="B11" s="51" t="s">
        <v>12</v>
      </c>
      <c r="C11" s="51" t="s">
        <v>13</v>
      </c>
      <c r="D11" s="51" t="s">
        <v>14</v>
      </c>
      <c r="E11" s="51"/>
      <c r="F11" s="51"/>
      <c r="G11" s="51"/>
      <c r="H11" s="51"/>
      <c r="I11" s="51"/>
      <c r="J11" s="51"/>
      <c r="K11" s="50" t="s">
        <v>15</v>
      </c>
      <c r="L11" s="50" t="s">
        <v>16</v>
      </c>
      <c r="M11" s="50" t="s">
        <v>17</v>
      </c>
    </row>
    <row r="12" spans="1:13" ht="15.75" thickBot="1">
      <c r="A12" s="51"/>
      <c r="B12" s="51"/>
      <c r="C12" s="51"/>
      <c r="D12" s="22" t="str">
        <f>[1]OCHOA!D12</f>
        <v>LUN</v>
      </c>
      <c r="E12" s="22" t="str">
        <f>[1]OCHOA!E12</f>
        <v>MAR</v>
      </c>
      <c r="F12" s="22" t="str">
        <f>[1]OCHOA!F12</f>
        <v>MIE</v>
      </c>
      <c r="G12" s="22" t="str">
        <f>[1]OCHOA!G12</f>
        <v>JUE</v>
      </c>
      <c r="H12" s="22" t="str">
        <f>[1]OCHOA!H12</f>
        <v>VIE</v>
      </c>
      <c r="I12" s="22" t="str">
        <f>[1]OCHOA!I12</f>
        <v>SAB</v>
      </c>
      <c r="J12" s="22" t="str">
        <f>[1]OCHOA!J12</f>
        <v>DOM</v>
      </c>
      <c r="K12" s="50"/>
      <c r="L12" s="50"/>
      <c r="M12" s="50"/>
    </row>
    <row r="13" spans="1:13" ht="15.75" thickBot="1">
      <c r="A13" s="51"/>
      <c r="B13" s="51"/>
      <c r="C13" s="51"/>
      <c r="D13" s="23">
        <f>[1]OCHOA!D13</f>
        <v>44508</v>
      </c>
      <c r="E13" s="23">
        <f>[1]OCHOA!E13</f>
        <v>44509</v>
      </c>
      <c r="F13" s="23">
        <f>[1]OCHOA!F13</f>
        <v>44510</v>
      </c>
      <c r="G13" s="23">
        <f>[1]OCHOA!G13</f>
        <v>44511</v>
      </c>
      <c r="H13" s="23">
        <f>[1]OCHOA!H13</f>
        <v>44512</v>
      </c>
      <c r="I13" s="23">
        <f>[1]OCHOA!I13</f>
        <v>44513</v>
      </c>
      <c r="J13" s="23">
        <f>[1]OCHOA!J13</f>
        <v>44514</v>
      </c>
      <c r="K13" s="50"/>
      <c r="L13" s="50"/>
      <c r="M13" s="50"/>
    </row>
    <row r="14" spans="1:13">
      <c r="A14" s="13">
        <v>1</v>
      </c>
      <c r="B14" s="14" t="s">
        <v>26</v>
      </c>
      <c r="C14" s="10" t="s">
        <v>18</v>
      </c>
      <c r="D14" s="5">
        <v>1</v>
      </c>
      <c r="E14" s="5"/>
      <c r="F14" s="5"/>
      <c r="G14" s="5"/>
      <c r="H14" s="5"/>
      <c r="I14" s="5"/>
      <c r="J14" s="5"/>
      <c r="K14" s="10">
        <f t="shared" ref="K14:K45" si="0">SUM(D14:J14)</f>
        <v>1</v>
      </c>
      <c r="L14" s="6">
        <v>30</v>
      </c>
      <c r="M14" s="24">
        <f>K14*L14</f>
        <v>30</v>
      </c>
    </row>
    <row r="15" spans="1:13">
      <c r="A15" s="12">
        <f>A14+1</f>
        <v>2</v>
      </c>
      <c r="B15" s="15" t="s">
        <v>27</v>
      </c>
      <c r="C15" s="11" t="s">
        <v>28</v>
      </c>
      <c r="D15" s="4">
        <v>1</v>
      </c>
      <c r="E15" s="4"/>
      <c r="F15" s="4"/>
      <c r="G15" s="4"/>
      <c r="H15" s="4"/>
      <c r="I15" s="4"/>
      <c r="J15" s="4"/>
      <c r="K15" s="11">
        <f t="shared" si="0"/>
        <v>1</v>
      </c>
      <c r="L15" s="7">
        <v>825</v>
      </c>
      <c r="M15" s="25">
        <f t="shared" ref="M15:M79" si="1">K15*L15</f>
        <v>825</v>
      </c>
    </row>
    <row r="16" spans="1:13">
      <c r="A16" s="12">
        <f t="shared" ref="A16:A79" si="2">A15+1</f>
        <v>3</v>
      </c>
      <c r="B16" s="15" t="s">
        <v>29</v>
      </c>
      <c r="C16" s="11" t="s">
        <v>18</v>
      </c>
      <c r="D16" s="4">
        <v>0.5</v>
      </c>
      <c r="E16" s="4"/>
      <c r="F16" s="4"/>
      <c r="G16" s="4"/>
      <c r="H16" s="4"/>
      <c r="I16" s="4"/>
      <c r="J16" s="4"/>
      <c r="K16" s="11">
        <f t="shared" si="0"/>
        <v>0.5</v>
      </c>
      <c r="L16" s="7">
        <v>75</v>
      </c>
      <c r="M16" s="25">
        <f>K16*L16</f>
        <v>37.5</v>
      </c>
    </row>
    <row r="17" spans="1:13">
      <c r="A17" s="12">
        <f t="shared" si="2"/>
        <v>4</v>
      </c>
      <c r="B17" s="15" t="s">
        <v>30</v>
      </c>
      <c r="C17" s="11" t="s">
        <v>18</v>
      </c>
      <c r="D17" s="4"/>
      <c r="E17" s="4"/>
      <c r="F17" s="4"/>
      <c r="G17" s="4"/>
      <c r="H17" s="4"/>
      <c r="I17" s="4"/>
      <c r="J17" s="4"/>
      <c r="K17" s="11">
        <f t="shared" si="0"/>
        <v>0</v>
      </c>
      <c r="L17" s="7">
        <v>93</v>
      </c>
      <c r="M17" s="25">
        <f t="shared" si="1"/>
        <v>0</v>
      </c>
    </row>
    <row r="18" spans="1:13">
      <c r="A18" s="12">
        <f t="shared" si="2"/>
        <v>5</v>
      </c>
      <c r="B18" s="15" t="s">
        <v>31</v>
      </c>
      <c r="C18" s="11" t="s">
        <v>18</v>
      </c>
      <c r="D18" s="4">
        <v>2</v>
      </c>
      <c r="E18" s="4"/>
      <c r="F18" s="4"/>
      <c r="G18" s="4"/>
      <c r="H18" s="4"/>
      <c r="I18" s="4"/>
      <c r="J18" s="4"/>
      <c r="K18" s="11">
        <f t="shared" si="0"/>
        <v>2</v>
      </c>
      <c r="L18" s="7">
        <v>100</v>
      </c>
      <c r="M18" s="25">
        <f t="shared" si="1"/>
        <v>200</v>
      </c>
    </row>
    <row r="19" spans="1:13">
      <c r="A19" s="12">
        <f t="shared" si="2"/>
        <v>6</v>
      </c>
      <c r="B19" s="15" t="s">
        <v>32</v>
      </c>
      <c r="C19" s="11" t="s">
        <v>18</v>
      </c>
      <c r="D19" s="4"/>
      <c r="E19" s="4"/>
      <c r="F19" s="4"/>
      <c r="G19" s="4"/>
      <c r="H19" s="4"/>
      <c r="I19" s="4"/>
      <c r="J19" s="4"/>
      <c r="K19" s="11">
        <f t="shared" si="0"/>
        <v>0</v>
      </c>
      <c r="L19" s="7">
        <v>80</v>
      </c>
      <c r="M19" s="25">
        <f t="shared" si="1"/>
        <v>0</v>
      </c>
    </row>
    <row r="20" spans="1:13">
      <c r="A20" s="12">
        <f t="shared" si="2"/>
        <v>7</v>
      </c>
      <c r="B20" s="15" t="s">
        <v>33</v>
      </c>
      <c r="C20" s="11" t="s">
        <v>18</v>
      </c>
      <c r="D20" s="4"/>
      <c r="E20" s="4"/>
      <c r="F20" s="4"/>
      <c r="G20" s="4"/>
      <c r="H20" s="4"/>
      <c r="I20" s="4"/>
      <c r="J20" s="4"/>
      <c r="K20" s="11">
        <f t="shared" si="0"/>
        <v>0</v>
      </c>
      <c r="L20" s="7">
        <v>50</v>
      </c>
      <c r="M20" s="25">
        <f t="shared" si="1"/>
        <v>0</v>
      </c>
    </row>
    <row r="21" spans="1:13">
      <c r="A21" s="12">
        <f t="shared" si="2"/>
        <v>8</v>
      </c>
      <c r="B21" s="15" t="s">
        <v>34</v>
      </c>
      <c r="C21" s="11" t="s">
        <v>18</v>
      </c>
      <c r="D21" s="4"/>
      <c r="E21" s="4"/>
      <c r="F21" s="4"/>
      <c r="G21" s="4"/>
      <c r="H21" s="4"/>
      <c r="I21" s="4"/>
      <c r="J21" s="4"/>
      <c r="K21" s="11">
        <f t="shared" si="0"/>
        <v>0</v>
      </c>
      <c r="L21" s="7">
        <v>63</v>
      </c>
      <c r="M21" s="25">
        <f t="shared" si="1"/>
        <v>0</v>
      </c>
    </row>
    <row r="22" spans="1:13">
      <c r="A22" s="12">
        <f t="shared" si="2"/>
        <v>9</v>
      </c>
      <c r="B22" s="15" t="s">
        <v>35</v>
      </c>
      <c r="C22" s="11" t="s">
        <v>18</v>
      </c>
      <c r="D22" s="4"/>
      <c r="E22" s="4"/>
      <c r="F22" s="4"/>
      <c r="G22" s="4"/>
      <c r="H22" s="4"/>
      <c r="I22" s="4"/>
      <c r="J22" s="4"/>
      <c r="K22" s="11">
        <f t="shared" si="0"/>
        <v>0</v>
      </c>
      <c r="L22" s="7">
        <v>81</v>
      </c>
      <c r="M22" s="25">
        <f t="shared" si="1"/>
        <v>0</v>
      </c>
    </row>
    <row r="23" spans="1:13">
      <c r="A23" s="12">
        <f t="shared" si="2"/>
        <v>10</v>
      </c>
      <c r="B23" s="15" t="s">
        <v>36</v>
      </c>
      <c r="C23" s="11" t="s">
        <v>18</v>
      </c>
      <c r="D23" s="4"/>
      <c r="E23" s="4"/>
      <c r="F23" s="4"/>
      <c r="G23" s="4"/>
      <c r="H23" s="4"/>
      <c r="I23" s="4"/>
      <c r="J23" s="4"/>
      <c r="K23" s="11">
        <f t="shared" si="0"/>
        <v>0</v>
      </c>
      <c r="L23" s="7">
        <v>195</v>
      </c>
      <c r="M23" s="25">
        <f t="shared" si="1"/>
        <v>0</v>
      </c>
    </row>
    <row r="24" spans="1:13">
      <c r="A24" s="12">
        <f t="shared" si="2"/>
        <v>11</v>
      </c>
      <c r="B24" s="15" t="s">
        <v>37</v>
      </c>
      <c r="C24" s="11" t="s">
        <v>18</v>
      </c>
      <c r="D24" s="4"/>
      <c r="E24" s="4"/>
      <c r="F24" s="4"/>
      <c r="G24" s="4"/>
      <c r="H24" s="4"/>
      <c r="I24" s="4"/>
      <c r="J24" s="4"/>
      <c r="K24" s="11">
        <f t="shared" si="0"/>
        <v>0</v>
      </c>
      <c r="L24" s="7">
        <v>288</v>
      </c>
      <c r="M24" s="25">
        <f t="shared" si="1"/>
        <v>0</v>
      </c>
    </row>
    <row r="25" spans="1:13">
      <c r="A25" s="12">
        <f t="shared" si="2"/>
        <v>12</v>
      </c>
      <c r="B25" s="15" t="s">
        <v>38</v>
      </c>
      <c r="C25" s="11" t="s">
        <v>18</v>
      </c>
      <c r="D25" s="4"/>
      <c r="E25" s="4"/>
      <c r="F25" s="4"/>
      <c r="G25" s="4"/>
      <c r="H25" s="4"/>
      <c r="I25" s="4"/>
      <c r="J25" s="4"/>
      <c r="K25" s="11">
        <f t="shared" si="0"/>
        <v>0</v>
      </c>
      <c r="L25" s="7">
        <v>45</v>
      </c>
      <c r="M25" s="25">
        <f t="shared" si="1"/>
        <v>0</v>
      </c>
    </row>
    <row r="26" spans="1:13">
      <c r="A26" s="12">
        <f t="shared" si="2"/>
        <v>13</v>
      </c>
      <c r="B26" s="15" t="s">
        <v>39</v>
      </c>
      <c r="C26" s="11" t="s">
        <v>18</v>
      </c>
      <c r="D26" s="4"/>
      <c r="E26" s="4"/>
      <c r="F26" s="4"/>
      <c r="G26" s="4"/>
      <c r="H26" s="4"/>
      <c r="I26" s="4"/>
      <c r="J26" s="4"/>
      <c r="K26" s="11">
        <f t="shared" si="0"/>
        <v>0</v>
      </c>
      <c r="L26" s="7">
        <v>60</v>
      </c>
      <c r="M26" s="25">
        <f t="shared" si="1"/>
        <v>0</v>
      </c>
    </row>
    <row r="27" spans="1:13">
      <c r="A27" s="12">
        <f t="shared" si="2"/>
        <v>14</v>
      </c>
      <c r="B27" s="15" t="s">
        <v>40</v>
      </c>
      <c r="C27" s="11" t="s">
        <v>18</v>
      </c>
      <c r="D27" s="4"/>
      <c r="E27" s="4"/>
      <c r="F27" s="4"/>
      <c r="G27" s="4"/>
      <c r="H27" s="4"/>
      <c r="I27" s="4"/>
      <c r="J27" s="4"/>
      <c r="K27" s="11">
        <f t="shared" si="0"/>
        <v>0</v>
      </c>
      <c r="L27" s="7">
        <v>54.5</v>
      </c>
      <c r="M27" s="25">
        <f t="shared" si="1"/>
        <v>0</v>
      </c>
    </row>
    <row r="28" spans="1:13">
      <c r="A28" s="12">
        <f t="shared" si="2"/>
        <v>15</v>
      </c>
      <c r="B28" s="15" t="s">
        <v>41</v>
      </c>
      <c r="C28" s="11" t="s">
        <v>18</v>
      </c>
      <c r="D28" s="4"/>
      <c r="E28" s="4"/>
      <c r="F28" s="4"/>
      <c r="G28" s="4"/>
      <c r="H28" s="4"/>
      <c r="I28" s="4"/>
      <c r="J28" s="4"/>
      <c r="K28" s="11">
        <f t="shared" si="0"/>
        <v>0</v>
      </c>
      <c r="L28" s="7">
        <v>600</v>
      </c>
      <c r="M28" s="25">
        <f t="shared" si="1"/>
        <v>0</v>
      </c>
    </row>
    <row r="29" spans="1:13">
      <c r="A29" s="12">
        <f t="shared" si="2"/>
        <v>16</v>
      </c>
      <c r="B29" s="15" t="s">
        <v>42</v>
      </c>
      <c r="C29" s="11" t="s">
        <v>18</v>
      </c>
      <c r="D29" s="4"/>
      <c r="E29" s="4"/>
      <c r="F29" s="4"/>
      <c r="G29" s="4"/>
      <c r="H29" s="4"/>
      <c r="I29" s="4"/>
      <c r="J29" s="4"/>
      <c r="K29" s="11">
        <f t="shared" si="0"/>
        <v>0</v>
      </c>
      <c r="L29" s="7">
        <v>124.5</v>
      </c>
      <c r="M29" s="25">
        <f t="shared" si="1"/>
        <v>0</v>
      </c>
    </row>
    <row r="30" spans="1:13">
      <c r="A30" s="12">
        <f t="shared" si="2"/>
        <v>17</v>
      </c>
      <c r="B30" s="15" t="s">
        <v>43</v>
      </c>
      <c r="C30" s="11" t="s">
        <v>18</v>
      </c>
      <c r="D30" s="4">
        <v>25</v>
      </c>
      <c r="E30" s="4"/>
      <c r="F30" s="4"/>
      <c r="G30" s="4"/>
      <c r="H30" s="4"/>
      <c r="I30" s="4"/>
      <c r="J30" s="4"/>
      <c r="K30" s="11">
        <f t="shared" si="0"/>
        <v>25</v>
      </c>
      <c r="L30" s="7">
        <v>19</v>
      </c>
      <c r="M30" s="25">
        <f t="shared" si="1"/>
        <v>475</v>
      </c>
    </row>
    <row r="31" spans="1:13">
      <c r="A31" s="12">
        <f t="shared" si="2"/>
        <v>18</v>
      </c>
      <c r="B31" s="15" t="s">
        <v>44</v>
      </c>
      <c r="C31" s="11" t="s">
        <v>18</v>
      </c>
      <c r="D31" s="4"/>
      <c r="E31" s="4"/>
      <c r="F31" s="4"/>
      <c r="G31" s="4"/>
      <c r="H31" s="4"/>
      <c r="I31" s="4"/>
      <c r="J31" s="4"/>
      <c r="K31" s="11">
        <f t="shared" si="0"/>
        <v>0</v>
      </c>
      <c r="L31" s="7">
        <v>23</v>
      </c>
      <c r="M31" s="25">
        <f t="shared" si="1"/>
        <v>0</v>
      </c>
    </row>
    <row r="32" spans="1:13">
      <c r="A32" s="12">
        <f t="shared" si="2"/>
        <v>19</v>
      </c>
      <c r="B32" s="15" t="s">
        <v>45</v>
      </c>
      <c r="C32" s="11" t="s">
        <v>18</v>
      </c>
      <c r="D32" s="4">
        <v>50</v>
      </c>
      <c r="E32" s="4"/>
      <c r="F32" s="4"/>
      <c r="G32" s="4"/>
      <c r="H32" s="4"/>
      <c r="I32" s="4"/>
      <c r="J32" s="4"/>
      <c r="K32" s="11">
        <f t="shared" si="0"/>
        <v>50</v>
      </c>
      <c r="L32" s="7">
        <v>19</v>
      </c>
      <c r="M32" s="25">
        <f t="shared" si="1"/>
        <v>950</v>
      </c>
    </row>
    <row r="33" spans="1:13">
      <c r="A33" s="12">
        <f t="shared" si="2"/>
        <v>20</v>
      </c>
      <c r="B33" s="15" t="s">
        <v>46</v>
      </c>
      <c r="C33" s="11" t="s">
        <v>19</v>
      </c>
      <c r="D33" s="4"/>
      <c r="E33" s="4"/>
      <c r="F33" s="4"/>
      <c r="G33" s="4"/>
      <c r="H33" s="4"/>
      <c r="I33" s="4"/>
      <c r="J33" s="4"/>
      <c r="K33" s="11">
        <f t="shared" si="0"/>
        <v>0</v>
      </c>
      <c r="L33" s="7">
        <v>148.5</v>
      </c>
      <c r="M33" s="25">
        <f t="shared" si="1"/>
        <v>0</v>
      </c>
    </row>
    <row r="34" spans="1:13">
      <c r="A34" s="12">
        <f t="shared" si="2"/>
        <v>21</v>
      </c>
      <c r="B34" s="15" t="s">
        <v>47</v>
      </c>
      <c r="C34" s="11" t="s">
        <v>18</v>
      </c>
      <c r="D34" s="4"/>
      <c r="E34" s="4"/>
      <c r="F34" s="4"/>
      <c r="G34" s="4"/>
      <c r="H34" s="4"/>
      <c r="I34" s="4"/>
      <c r="J34" s="4"/>
      <c r="K34" s="11">
        <f t="shared" si="0"/>
        <v>0</v>
      </c>
      <c r="L34" s="7">
        <v>67.5</v>
      </c>
      <c r="M34" s="25">
        <f t="shared" si="1"/>
        <v>0</v>
      </c>
    </row>
    <row r="35" spans="1:13">
      <c r="A35" s="12">
        <f t="shared" si="2"/>
        <v>22</v>
      </c>
      <c r="B35" s="15" t="s">
        <v>48</v>
      </c>
      <c r="C35" s="11" t="s">
        <v>18</v>
      </c>
      <c r="D35" s="4"/>
      <c r="E35" s="4"/>
      <c r="F35" s="4"/>
      <c r="G35" s="4"/>
      <c r="H35" s="4"/>
      <c r="I35" s="4"/>
      <c r="J35" s="4"/>
      <c r="K35" s="11">
        <f t="shared" si="0"/>
        <v>0</v>
      </c>
      <c r="L35" s="7">
        <v>55</v>
      </c>
      <c r="M35" s="25">
        <f t="shared" si="1"/>
        <v>0</v>
      </c>
    </row>
    <row r="36" spans="1:13">
      <c r="A36" s="12">
        <f t="shared" si="2"/>
        <v>23</v>
      </c>
      <c r="B36" s="15" t="s">
        <v>49</v>
      </c>
      <c r="C36" s="11" t="s">
        <v>18</v>
      </c>
      <c r="D36" s="4"/>
      <c r="E36" s="4"/>
      <c r="F36" s="4"/>
      <c r="G36" s="4"/>
      <c r="H36" s="4"/>
      <c r="I36" s="4"/>
      <c r="J36" s="4"/>
      <c r="K36" s="11">
        <f t="shared" si="0"/>
        <v>0</v>
      </c>
      <c r="L36" s="9">
        <v>215</v>
      </c>
      <c r="M36" s="25">
        <f t="shared" si="1"/>
        <v>0</v>
      </c>
    </row>
    <row r="37" spans="1:13">
      <c r="A37" s="12">
        <f t="shared" si="2"/>
        <v>24</v>
      </c>
      <c r="B37" s="15" t="s">
        <v>50</v>
      </c>
      <c r="C37" s="11" t="s">
        <v>18</v>
      </c>
      <c r="D37" s="4"/>
      <c r="E37" s="4"/>
      <c r="F37" s="4"/>
      <c r="G37" s="4"/>
      <c r="H37" s="4"/>
      <c r="I37" s="4"/>
      <c r="J37" s="4"/>
      <c r="K37" s="11">
        <f t="shared" si="0"/>
        <v>0</v>
      </c>
      <c r="L37" s="7">
        <v>538</v>
      </c>
      <c r="M37" s="25">
        <f t="shared" si="1"/>
        <v>0</v>
      </c>
    </row>
    <row r="38" spans="1:13">
      <c r="A38" s="12">
        <f t="shared" si="2"/>
        <v>25</v>
      </c>
      <c r="B38" s="15" t="s">
        <v>51</v>
      </c>
      <c r="C38" s="11" t="s">
        <v>20</v>
      </c>
      <c r="D38" s="4"/>
      <c r="E38" s="4"/>
      <c r="F38" s="4"/>
      <c r="G38" s="4"/>
      <c r="H38" s="4"/>
      <c r="I38" s="4"/>
      <c r="J38" s="4"/>
      <c r="K38" s="11">
        <f t="shared" si="0"/>
        <v>0</v>
      </c>
      <c r="L38" s="9">
        <v>70</v>
      </c>
      <c r="M38" s="25">
        <f t="shared" si="1"/>
        <v>0</v>
      </c>
    </row>
    <row r="39" spans="1:13">
      <c r="A39" s="12">
        <f t="shared" si="2"/>
        <v>26</v>
      </c>
      <c r="B39" s="15" t="s">
        <v>52</v>
      </c>
      <c r="C39" s="11" t="s">
        <v>18</v>
      </c>
      <c r="D39" s="4"/>
      <c r="E39" s="4"/>
      <c r="F39" s="4"/>
      <c r="G39" s="4"/>
      <c r="H39" s="4"/>
      <c r="I39" s="4"/>
      <c r="J39" s="4"/>
      <c r="K39" s="11">
        <f t="shared" si="0"/>
        <v>0</v>
      </c>
      <c r="L39" s="7">
        <v>22</v>
      </c>
      <c r="M39" s="25">
        <f t="shared" si="1"/>
        <v>0</v>
      </c>
    </row>
    <row r="40" spans="1:13">
      <c r="A40" s="12">
        <f t="shared" si="2"/>
        <v>27</v>
      </c>
      <c r="B40" s="15" t="s">
        <v>53</v>
      </c>
      <c r="C40" s="11" t="s">
        <v>21</v>
      </c>
      <c r="D40" s="4">
        <v>2</v>
      </c>
      <c r="E40" s="4"/>
      <c r="F40" s="4"/>
      <c r="G40" s="4"/>
      <c r="H40" s="4"/>
      <c r="I40" s="4"/>
      <c r="J40" s="4"/>
      <c r="K40" s="11">
        <f t="shared" si="0"/>
        <v>2</v>
      </c>
      <c r="L40" s="26">
        <v>25</v>
      </c>
      <c r="M40" s="25">
        <f t="shared" si="1"/>
        <v>50</v>
      </c>
    </row>
    <row r="41" spans="1:13">
      <c r="A41" s="12">
        <f t="shared" si="2"/>
        <v>28</v>
      </c>
      <c r="B41" s="15" t="s">
        <v>54</v>
      </c>
      <c r="C41" s="11" t="s">
        <v>18</v>
      </c>
      <c r="D41" s="4"/>
      <c r="E41" s="4"/>
      <c r="F41" s="4"/>
      <c r="G41" s="4"/>
      <c r="H41" s="4"/>
      <c r="I41" s="4"/>
      <c r="J41" s="4"/>
      <c r="K41" s="11">
        <f t="shared" si="0"/>
        <v>0</v>
      </c>
      <c r="L41" s="9">
        <v>70</v>
      </c>
      <c r="M41" s="25">
        <f t="shared" si="1"/>
        <v>0</v>
      </c>
    </row>
    <row r="42" spans="1:13">
      <c r="A42" s="12">
        <f t="shared" si="2"/>
        <v>29</v>
      </c>
      <c r="B42" s="15" t="s">
        <v>55</v>
      </c>
      <c r="C42" s="11" t="s">
        <v>18</v>
      </c>
      <c r="D42" s="4"/>
      <c r="E42" s="4"/>
      <c r="F42" s="4"/>
      <c r="G42" s="4"/>
      <c r="H42" s="4"/>
      <c r="I42" s="4"/>
      <c r="J42" s="4"/>
      <c r="K42" s="11">
        <f t="shared" si="0"/>
        <v>0</v>
      </c>
      <c r="L42" s="9">
        <v>70</v>
      </c>
      <c r="M42" s="25">
        <f t="shared" si="1"/>
        <v>0</v>
      </c>
    </row>
    <row r="43" spans="1:13">
      <c r="A43" s="12">
        <f t="shared" si="2"/>
        <v>30</v>
      </c>
      <c r="B43" s="15" t="s">
        <v>56</v>
      </c>
      <c r="C43" s="11" t="s">
        <v>18</v>
      </c>
      <c r="D43" s="4"/>
      <c r="E43" s="4"/>
      <c r="F43" s="4"/>
      <c r="G43" s="4"/>
      <c r="H43" s="4"/>
      <c r="I43" s="4"/>
      <c r="J43" s="4"/>
      <c r="K43" s="11">
        <f t="shared" si="0"/>
        <v>0</v>
      </c>
      <c r="L43" s="9">
        <v>70</v>
      </c>
      <c r="M43" s="25">
        <f t="shared" si="1"/>
        <v>0</v>
      </c>
    </row>
    <row r="44" spans="1:13">
      <c r="A44" s="12">
        <f t="shared" si="2"/>
        <v>31</v>
      </c>
      <c r="B44" s="15" t="s">
        <v>57</v>
      </c>
      <c r="C44" s="11" t="s">
        <v>18</v>
      </c>
      <c r="D44" s="4"/>
      <c r="E44" s="4"/>
      <c r="F44" s="4"/>
      <c r="G44" s="4"/>
      <c r="H44" s="4"/>
      <c r="I44" s="4"/>
      <c r="J44" s="4"/>
      <c r="K44" s="11">
        <f t="shared" si="0"/>
        <v>0</v>
      </c>
      <c r="L44" s="9">
        <v>70</v>
      </c>
      <c r="M44" s="25">
        <f t="shared" si="1"/>
        <v>0</v>
      </c>
    </row>
    <row r="45" spans="1:13">
      <c r="A45" s="12">
        <f t="shared" si="2"/>
        <v>32</v>
      </c>
      <c r="B45" s="15" t="s">
        <v>58</v>
      </c>
      <c r="C45" s="11" t="s">
        <v>18</v>
      </c>
      <c r="D45" s="4"/>
      <c r="E45" s="4"/>
      <c r="F45" s="4"/>
      <c r="G45" s="4"/>
      <c r="H45" s="4"/>
      <c r="I45" s="4"/>
      <c r="J45" s="4"/>
      <c r="K45" s="11">
        <f t="shared" si="0"/>
        <v>0</v>
      </c>
      <c r="L45" s="7">
        <v>82</v>
      </c>
      <c r="M45" s="25">
        <f t="shared" si="1"/>
        <v>0</v>
      </c>
    </row>
    <row r="46" spans="1:13">
      <c r="A46" s="12">
        <f t="shared" si="2"/>
        <v>33</v>
      </c>
      <c r="B46" s="15" t="s">
        <v>59</v>
      </c>
      <c r="C46" s="11" t="s">
        <v>18</v>
      </c>
      <c r="D46" s="4"/>
      <c r="E46" s="4"/>
      <c r="F46" s="4"/>
      <c r="G46" s="4"/>
      <c r="H46" s="4"/>
      <c r="I46" s="4"/>
      <c r="J46" s="4"/>
      <c r="K46" s="11">
        <f t="shared" ref="K46:K109" si="3">SUM(D46:J46)</f>
        <v>0</v>
      </c>
      <c r="L46" s="7">
        <v>110</v>
      </c>
      <c r="M46" s="25">
        <f t="shared" si="1"/>
        <v>0</v>
      </c>
    </row>
    <row r="47" spans="1:13">
      <c r="A47" s="12">
        <f t="shared" si="2"/>
        <v>34</v>
      </c>
      <c r="B47" s="15" t="s">
        <v>60</v>
      </c>
      <c r="C47" s="11" t="s">
        <v>18</v>
      </c>
      <c r="D47" s="4">
        <v>0.5</v>
      </c>
      <c r="E47" s="4"/>
      <c r="F47" s="4"/>
      <c r="G47" s="4"/>
      <c r="H47" s="4"/>
      <c r="I47" s="4"/>
      <c r="J47" s="4"/>
      <c r="K47" s="11">
        <f t="shared" si="3"/>
        <v>0.5</v>
      </c>
      <c r="L47" s="7">
        <v>138</v>
      </c>
      <c r="M47" s="25">
        <f t="shared" si="1"/>
        <v>69</v>
      </c>
    </row>
    <row r="48" spans="1:13">
      <c r="A48" s="12">
        <f t="shared" si="2"/>
        <v>35</v>
      </c>
      <c r="B48" s="15" t="s">
        <v>61</v>
      </c>
      <c r="C48" s="11" t="s">
        <v>18</v>
      </c>
      <c r="D48" s="4"/>
      <c r="E48" s="4"/>
      <c r="F48" s="4"/>
      <c r="G48" s="4"/>
      <c r="H48" s="4"/>
      <c r="I48" s="4"/>
      <c r="J48" s="4"/>
      <c r="K48" s="11">
        <f t="shared" si="3"/>
        <v>0</v>
      </c>
      <c r="L48" s="7">
        <v>48</v>
      </c>
      <c r="M48" s="25">
        <f t="shared" si="1"/>
        <v>0</v>
      </c>
    </row>
    <row r="49" spans="1:13">
      <c r="A49" s="12">
        <f t="shared" si="2"/>
        <v>36</v>
      </c>
      <c r="B49" s="15" t="s">
        <v>62</v>
      </c>
      <c r="C49" s="11" t="s">
        <v>18</v>
      </c>
      <c r="D49" s="4">
        <v>0.5</v>
      </c>
      <c r="E49" s="4"/>
      <c r="F49" s="4"/>
      <c r="G49" s="4"/>
      <c r="H49" s="4"/>
      <c r="I49" s="4"/>
      <c r="J49" s="4"/>
      <c r="K49" s="11">
        <f t="shared" si="3"/>
        <v>0.5</v>
      </c>
      <c r="L49" s="7">
        <v>138</v>
      </c>
      <c r="M49" s="25">
        <f t="shared" si="1"/>
        <v>69</v>
      </c>
    </row>
    <row r="50" spans="1:13">
      <c r="A50" s="12">
        <f t="shared" si="2"/>
        <v>37</v>
      </c>
      <c r="B50" s="15" t="s">
        <v>63</v>
      </c>
      <c r="C50" s="11" t="s">
        <v>18</v>
      </c>
      <c r="D50" s="4"/>
      <c r="E50" s="4"/>
      <c r="F50" s="4"/>
      <c r="G50" s="4"/>
      <c r="H50" s="4"/>
      <c r="I50" s="4"/>
      <c r="J50" s="4"/>
      <c r="K50" s="11">
        <f t="shared" si="3"/>
        <v>0</v>
      </c>
      <c r="L50" s="7">
        <v>228</v>
      </c>
      <c r="M50" s="25">
        <f t="shared" si="1"/>
        <v>0</v>
      </c>
    </row>
    <row r="51" spans="1:13">
      <c r="A51" s="12">
        <f t="shared" si="2"/>
        <v>38</v>
      </c>
      <c r="B51" s="15" t="s">
        <v>64</v>
      </c>
      <c r="C51" s="11" t="s">
        <v>18</v>
      </c>
      <c r="D51" s="4">
        <v>0.5</v>
      </c>
      <c r="E51" s="4"/>
      <c r="F51" s="4"/>
      <c r="G51" s="4"/>
      <c r="H51" s="4"/>
      <c r="I51" s="4"/>
      <c r="J51" s="4"/>
      <c r="K51" s="11">
        <f t="shared" si="3"/>
        <v>0.5</v>
      </c>
      <c r="L51" s="7">
        <v>175</v>
      </c>
      <c r="M51" s="25">
        <f t="shared" si="1"/>
        <v>87.5</v>
      </c>
    </row>
    <row r="52" spans="1:13">
      <c r="A52" s="12">
        <f t="shared" si="2"/>
        <v>39</v>
      </c>
      <c r="B52" s="15" t="s">
        <v>65</v>
      </c>
      <c r="C52" s="11" t="s">
        <v>18</v>
      </c>
      <c r="D52" s="4">
        <v>0.5</v>
      </c>
      <c r="E52" s="4"/>
      <c r="F52" s="4"/>
      <c r="G52" s="4"/>
      <c r="H52" s="4"/>
      <c r="I52" s="4"/>
      <c r="J52" s="4"/>
      <c r="K52" s="11">
        <f t="shared" si="3"/>
        <v>0.5</v>
      </c>
      <c r="L52" s="7">
        <v>108</v>
      </c>
      <c r="M52" s="25">
        <f t="shared" si="1"/>
        <v>54</v>
      </c>
    </row>
    <row r="53" spans="1:13">
      <c r="A53" s="12">
        <f t="shared" si="2"/>
        <v>40</v>
      </c>
      <c r="B53" s="15" t="s">
        <v>66</v>
      </c>
      <c r="C53" s="11" t="s">
        <v>18</v>
      </c>
      <c r="D53" s="4">
        <v>0.5</v>
      </c>
      <c r="E53" s="4"/>
      <c r="F53" s="4"/>
      <c r="G53" s="4"/>
      <c r="H53" s="4"/>
      <c r="I53" s="4"/>
      <c r="J53" s="4"/>
      <c r="K53" s="11">
        <f t="shared" si="3"/>
        <v>0.5</v>
      </c>
      <c r="L53" s="7">
        <v>114</v>
      </c>
      <c r="M53" s="25">
        <f t="shared" si="1"/>
        <v>57</v>
      </c>
    </row>
    <row r="54" spans="1:13">
      <c r="A54" s="12">
        <f t="shared" si="2"/>
        <v>41</v>
      </c>
      <c r="B54" s="15" t="s">
        <v>67</v>
      </c>
      <c r="C54" s="11" t="s">
        <v>18</v>
      </c>
      <c r="D54" s="4"/>
      <c r="E54" s="4"/>
      <c r="F54" s="4"/>
      <c r="G54" s="4"/>
      <c r="H54" s="4"/>
      <c r="I54" s="4"/>
      <c r="J54" s="4"/>
      <c r="K54" s="11">
        <f t="shared" si="3"/>
        <v>0</v>
      </c>
      <c r="L54" s="7">
        <v>120</v>
      </c>
      <c r="M54" s="25">
        <f t="shared" si="1"/>
        <v>0</v>
      </c>
    </row>
    <row r="55" spans="1:13">
      <c r="A55" s="12">
        <f t="shared" si="2"/>
        <v>42</v>
      </c>
      <c r="B55" s="15" t="s">
        <v>68</v>
      </c>
      <c r="C55" s="11" t="s">
        <v>18</v>
      </c>
      <c r="D55" s="4">
        <v>0.5</v>
      </c>
      <c r="E55" s="4"/>
      <c r="F55" s="4"/>
      <c r="G55" s="4"/>
      <c r="H55" s="4"/>
      <c r="I55" s="4"/>
      <c r="J55" s="4"/>
      <c r="K55" s="11">
        <f t="shared" si="3"/>
        <v>0.5</v>
      </c>
      <c r="L55" s="7">
        <v>132</v>
      </c>
      <c r="M55" s="25">
        <f t="shared" si="1"/>
        <v>66</v>
      </c>
    </row>
    <row r="56" spans="1:13">
      <c r="A56" s="12">
        <f t="shared" si="2"/>
        <v>43</v>
      </c>
      <c r="B56" s="15" t="s">
        <v>69</v>
      </c>
      <c r="C56" s="11" t="s">
        <v>18</v>
      </c>
      <c r="D56" s="4">
        <v>1</v>
      </c>
      <c r="E56" s="4"/>
      <c r="F56" s="4"/>
      <c r="G56" s="4"/>
      <c r="H56" s="4"/>
      <c r="I56" s="4"/>
      <c r="J56" s="4"/>
      <c r="K56" s="11">
        <f t="shared" si="3"/>
        <v>1</v>
      </c>
      <c r="L56" s="7">
        <v>40</v>
      </c>
      <c r="M56" s="25">
        <f t="shared" si="1"/>
        <v>40</v>
      </c>
    </row>
    <row r="57" spans="1:13">
      <c r="A57" s="12">
        <f t="shared" si="2"/>
        <v>44</v>
      </c>
      <c r="B57" s="16" t="s">
        <v>70</v>
      </c>
      <c r="C57" s="11" t="s">
        <v>18</v>
      </c>
      <c r="D57" s="4"/>
      <c r="E57" s="4"/>
      <c r="F57" s="4"/>
      <c r="G57" s="4"/>
      <c r="H57" s="4"/>
      <c r="I57" s="4"/>
      <c r="J57" s="4"/>
      <c r="K57" s="11">
        <f t="shared" si="3"/>
        <v>0</v>
      </c>
      <c r="L57" s="7">
        <v>115</v>
      </c>
      <c r="M57" s="25">
        <f t="shared" si="1"/>
        <v>0</v>
      </c>
    </row>
    <row r="58" spans="1:13">
      <c r="A58" s="12">
        <f t="shared" si="2"/>
        <v>45</v>
      </c>
      <c r="B58" s="16" t="s">
        <v>71</v>
      </c>
      <c r="C58" s="11" t="s">
        <v>18</v>
      </c>
      <c r="D58" s="4"/>
      <c r="E58" s="4"/>
      <c r="F58" s="4"/>
      <c r="G58" s="4"/>
      <c r="H58" s="4"/>
      <c r="I58" s="4"/>
      <c r="J58" s="4"/>
      <c r="K58" s="11">
        <f t="shared" si="3"/>
        <v>0</v>
      </c>
      <c r="L58" s="7">
        <v>115</v>
      </c>
      <c r="M58" s="25">
        <f t="shared" si="1"/>
        <v>0</v>
      </c>
    </row>
    <row r="59" spans="1:13">
      <c r="A59" s="12">
        <f t="shared" si="2"/>
        <v>46</v>
      </c>
      <c r="B59" s="15" t="s">
        <v>72</v>
      </c>
      <c r="C59" s="11" t="s">
        <v>18</v>
      </c>
      <c r="D59" s="4"/>
      <c r="E59" s="4"/>
      <c r="F59" s="4"/>
      <c r="G59" s="4"/>
      <c r="H59" s="4"/>
      <c r="I59" s="4"/>
      <c r="J59" s="4"/>
      <c r="K59" s="11">
        <f t="shared" si="3"/>
        <v>0</v>
      </c>
      <c r="L59" s="17">
        <v>80</v>
      </c>
      <c r="M59" s="25">
        <f t="shared" si="1"/>
        <v>0</v>
      </c>
    </row>
    <row r="60" spans="1:13">
      <c r="A60" s="12">
        <f t="shared" si="2"/>
        <v>47</v>
      </c>
      <c r="B60" s="15" t="s">
        <v>73</v>
      </c>
      <c r="C60" s="11" t="s">
        <v>18</v>
      </c>
      <c r="D60" s="4"/>
      <c r="E60" s="4"/>
      <c r="F60" s="4"/>
      <c r="G60" s="4"/>
      <c r="H60" s="4"/>
      <c r="I60" s="4"/>
      <c r="J60" s="4"/>
      <c r="K60" s="11">
        <f t="shared" si="3"/>
        <v>0</v>
      </c>
      <c r="L60" s="7">
        <v>93</v>
      </c>
      <c r="M60" s="25">
        <f t="shared" si="1"/>
        <v>0</v>
      </c>
    </row>
    <row r="61" spans="1:13">
      <c r="A61" s="12">
        <f t="shared" si="2"/>
        <v>48</v>
      </c>
      <c r="B61" s="15" t="s">
        <v>74</v>
      </c>
      <c r="C61" s="11" t="s">
        <v>18</v>
      </c>
      <c r="D61" s="4"/>
      <c r="E61" s="4"/>
      <c r="F61" s="4"/>
      <c r="G61" s="4"/>
      <c r="H61" s="4"/>
      <c r="I61" s="4"/>
      <c r="J61" s="4"/>
      <c r="K61" s="11">
        <f t="shared" si="3"/>
        <v>0</v>
      </c>
      <c r="L61" s="7">
        <v>209</v>
      </c>
      <c r="M61" s="25">
        <f t="shared" si="1"/>
        <v>0</v>
      </c>
    </row>
    <row r="62" spans="1:13">
      <c r="A62" s="12">
        <f t="shared" si="2"/>
        <v>49</v>
      </c>
      <c r="B62" s="15" t="s">
        <v>75</v>
      </c>
      <c r="C62" s="11" t="s">
        <v>24</v>
      </c>
      <c r="D62" s="4"/>
      <c r="E62" s="4"/>
      <c r="F62" s="4"/>
      <c r="G62" s="4"/>
      <c r="H62" s="4"/>
      <c r="I62" s="4"/>
      <c r="J62" s="4"/>
      <c r="K62" s="11">
        <f t="shared" si="3"/>
        <v>0</v>
      </c>
      <c r="L62" s="17">
        <v>325</v>
      </c>
      <c r="M62" s="25">
        <f t="shared" si="1"/>
        <v>0</v>
      </c>
    </row>
    <row r="63" spans="1:13">
      <c r="A63" s="12">
        <f t="shared" si="2"/>
        <v>50</v>
      </c>
      <c r="B63" s="15" t="s">
        <v>76</v>
      </c>
      <c r="C63" s="11" t="s">
        <v>18</v>
      </c>
      <c r="D63" s="4"/>
      <c r="E63" s="4"/>
      <c r="F63" s="4"/>
      <c r="G63" s="4"/>
      <c r="H63" s="4"/>
      <c r="I63" s="4"/>
      <c r="J63" s="4"/>
      <c r="K63" s="11">
        <f t="shared" si="3"/>
        <v>0</v>
      </c>
      <c r="L63" s="7">
        <v>65</v>
      </c>
      <c r="M63" s="25">
        <f t="shared" si="1"/>
        <v>0</v>
      </c>
    </row>
    <row r="64" spans="1:13">
      <c r="A64" s="12">
        <f t="shared" si="2"/>
        <v>51</v>
      </c>
      <c r="B64" s="15" t="s">
        <v>77</v>
      </c>
      <c r="C64" s="11" t="s">
        <v>18</v>
      </c>
      <c r="D64" s="4">
        <v>1</v>
      </c>
      <c r="E64" s="4"/>
      <c r="F64" s="4"/>
      <c r="G64" s="4"/>
      <c r="H64" s="4"/>
      <c r="I64" s="4"/>
      <c r="J64" s="4"/>
      <c r="K64" s="11">
        <f t="shared" si="3"/>
        <v>1</v>
      </c>
      <c r="L64" s="7">
        <v>57</v>
      </c>
      <c r="M64" s="25">
        <f t="shared" si="1"/>
        <v>57</v>
      </c>
    </row>
    <row r="65" spans="1:13">
      <c r="A65" s="12">
        <f t="shared" si="2"/>
        <v>52</v>
      </c>
      <c r="B65" s="15" t="s">
        <v>78</v>
      </c>
      <c r="C65" s="11" t="s">
        <v>18</v>
      </c>
      <c r="D65" s="4"/>
      <c r="E65" s="4"/>
      <c r="F65" s="4"/>
      <c r="G65" s="4"/>
      <c r="H65" s="4"/>
      <c r="I65" s="4"/>
      <c r="J65" s="4"/>
      <c r="K65" s="11">
        <f t="shared" si="3"/>
        <v>0</v>
      </c>
      <c r="L65" s="7">
        <v>40.5</v>
      </c>
      <c r="M65" s="25">
        <f t="shared" si="1"/>
        <v>0</v>
      </c>
    </row>
    <row r="66" spans="1:13">
      <c r="A66" s="12">
        <f t="shared" si="2"/>
        <v>53</v>
      </c>
      <c r="B66" s="15" t="s">
        <v>79</v>
      </c>
      <c r="C66" s="11" t="s">
        <v>18</v>
      </c>
      <c r="D66" s="4"/>
      <c r="E66" s="4"/>
      <c r="F66" s="4"/>
      <c r="G66" s="4"/>
      <c r="H66" s="4"/>
      <c r="I66" s="4"/>
      <c r="J66" s="4"/>
      <c r="K66" s="11">
        <f t="shared" si="3"/>
        <v>0</v>
      </c>
      <c r="L66" s="7">
        <v>160</v>
      </c>
      <c r="M66" s="25">
        <f t="shared" si="1"/>
        <v>0</v>
      </c>
    </row>
    <row r="67" spans="1:13">
      <c r="A67" s="12">
        <f t="shared" si="2"/>
        <v>54</v>
      </c>
      <c r="B67" s="15" t="s">
        <v>80</v>
      </c>
      <c r="C67" s="11" t="s">
        <v>22</v>
      </c>
      <c r="D67" s="4"/>
      <c r="E67" s="4"/>
      <c r="F67" s="4"/>
      <c r="G67" s="4"/>
      <c r="H67" s="4"/>
      <c r="I67" s="4"/>
      <c r="J67" s="4"/>
      <c r="K67" s="11">
        <f t="shared" si="3"/>
        <v>0</v>
      </c>
      <c r="L67" s="17">
        <v>55</v>
      </c>
      <c r="M67" s="25">
        <f t="shared" si="1"/>
        <v>0</v>
      </c>
    </row>
    <row r="68" spans="1:13">
      <c r="A68" s="12">
        <f t="shared" si="2"/>
        <v>55</v>
      </c>
      <c r="B68" s="15" t="s">
        <v>81</v>
      </c>
      <c r="C68" s="11" t="s">
        <v>18</v>
      </c>
      <c r="D68" s="4"/>
      <c r="E68" s="4"/>
      <c r="F68" s="4"/>
      <c r="G68" s="4"/>
      <c r="H68" s="4"/>
      <c r="I68" s="4"/>
      <c r="J68" s="4"/>
      <c r="K68" s="11">
        <f t="shared" si="3"/>
        <v>0</v>
      </c>
      <c r="L68" s="7">
        <v>90</v>
      </c>
      <c r="M68" s="25">
        <f t="shared" si="1"/>
        <v>0</v>
      </c>
    </row>
    <row r="69" spans="1:13">
      <c r="A69" s="12">
        <f t="shared" si="2"/>
        <v>56</v>
      </c>
      <c r="B69" s="15" t="s">
        <v>82</v>
      </c>
      <c r="C69" s="11" t="s">
        <v>18</v>
      </c>
      <c r="D69" s="4">
        <v>1</v>
      </c>
      <c r="E69" s="4"/>
      <c r="F69" s="4"/>
      <c r="G69" s="4"/>
      <c r="H69" s="4"/>
      <c r="I69" s="4"/>
      <c r="J69" s="4"/>
      <c r="K69" s="11">
        <f t="shared" si="3"/>
        <v>1</v>
      </c>
      <c r="L69" s="7">
        <v>90</v>
      </c>
      <c r="M69" s="25">
        <f t="shared" si="1"/>
        <v>90</v>
      </c>
    </row>
    <row r="70" spans="1:13">
      <c r="A70" s="12">
        <f t="shared" si="2"/>
        <v>57</v>
      </c>
      <c r="B70" s="15" t="s">
        <v>83</v>
      </c>
      <c r="C70" s="11" t="s">
        <v>18</v>
      </c>
      <c r="D70" s="4"/>
      <c r="E70" s="4"/>
      <c r="F70" s="4"/>
      <c r="G70" s="4"/>
      <c r="H70" s="4"/>
      <c r="I70" s="4"/>
      <c r="J70" s="4"/>
      <c r="K70" s="11">
        <f t="shared" si="3"/>
        <v>0</v>
      </c>
      <c r="L70" s="7">
        <v>30</v>
      </c>
      <c r="M70" s="25">
        <f t="shared" si="1"/>
        <v>0</v>
      </c>
    </row>
    <row r="71" spans="1:13">
      <c r="A71" s="12">
        <f t="shared" si="2"/>
        <v>58</v>
      </c>
      <c r="B71" s="15" t="s">
        <v>84</v>
      </c>
      <c r="C71" s="11" t="s">
        <v>18</v>
      </c>
      <c r="D71" s="4">
        <v>3</v>
      </c>
      <c r="E71" s="4"/>
      <c r="F71" s="4"/>
      <c r="G71" s="4"/>
      <c r="H71" s="4"/>
      <c r="I71" s="4"/>
      <c r="J71" s="4"/>
      <c r="K71" s="11">
        <f t="shared" si="3"/>
        <v>3</v>
      </c>
      <c r="L71" s="7">
        <v>30</v>
      </c>
      <c r="M71" s="25">
        <f t="shared" si="1"/>
        <v>90</v>
      </c>
    </row>
    <row r="72" spans="1:13">
      <c r="A72" s="12">
        <f t="shared" si="2"/>
        <v>59</v>
      </c>
      <c r="B72" s="15" t="s">
        <v>85</v>
      </c>
      <c r="C72" s="11" t="s">
        <v>18</v>
      </c>
      <c r="D72" s="4"/>
      <c r="E72" s="4"/>
      <c r="F72" s="4"/>
      <c r="G72" s="4"/>
      <c r="H72" s="4"/>
      <c r="I72" s="4"/>
      <c r="J72" s="4"/>
      <c r="K72" s="11">
        <f t="shared" si="3"/>
        <v>0</v>
      </c>
      <c r="L72" s="7">
        <v>56</v>
      </c>
      <c r="M72" s="25">
        <f t="shared" si="1"/>
        <v>0</v>
      </c>
    </row>
    <row r="73" spans="1:13">
      <c r="A73" s="12">
        <f t="shared" si="2"/>
        <v>60</v>
      </c>
      <c r="B73" s="15" t="s">
        <v>86</v>
      </c>
      <c r="C73" s="11" t="s">
        <v>18</v>
      </c>
      <c r="D73" s="4"/>
      <c r="E73" s="4"/>
      <c r="F73" s="4"/>
      <c r="G73" s="4"/>
      <c r="H73" s="4"/>
      <c r="I73" s="4"/>
      <c r="J73" s="4"/>
      <c r="K73" s="11">
        <f t="shared" si="3"/>
        <v>0</v>
      </c>
      <c r="L73" s="7">
        <v>120</v>
      </c>
      <c r="M73" s="25">
        <f t="shared" si="1"/>
        <v>0</v>
      </c>
    </row>
    <row r="74" spans="1:13">
      <c r="A74" s="12">
        <f t="shared" si="2"/>
        <v>61</v>
      </c>
      <c r="B74" s="15" t="s">
        <v>87</v>
      </c>
      <c r="C74" s="11" t="s">
        <v>88</v>
      </c>
      <c r="D74" s="4"/>
      <c r="E74" s="4"/>
      <c r="F74" s="4"/>
      <c r="G74" s="4"/>
      <c r="H74" s="4"/>
      <c r="I74" s="4"/>
      <c r="J74" s="4"/>
      <c r="K74" s="11">
        <f t="shared" si="3"/>
        <v>0</v>
      </c>
      <c r="L74" s="26">
        <v>287</v>
      </c>
      <c r="M74" s="25">
        <f t="shared" si="1"/>
        <v>0</v>
      </c>
    </row>
    <row r="75" spans="1:13">
      <c r="A75" s="12">
        <f t="shared" si="2"/>
        <v>62</v>
      </c>
      <c r="B75" s="15" t="s">
        <v>89</v>
      </c>
      <c r="C75" s="11" t="s">
        <v>88</v>
      </c>
      <c r="D75" s="4"/>
      <c r="E75" s="4"/>
      <c r="F75" s="4"/>
      <c r="G75" s="4"/>
      <c r="H75" s="4"/>
      <c r="I75" s="4"/>
      <c r="J75" s="4"/>
      <c r="K75" s="11">
        <f t="shared" si="3"/>
        <v>0</v>
      </c>
      <c r="L75" s="26">
        <v>287</v>
      </c>
      <c r="M75" s="25">
        <f t="shared" si="1"/>
        <v>0</v>
      </c>
    </row>
    <row r="76" spans="1:13">
      <c r="A76" s="12">
        <f t="shared" si="2"/>
        <v>63</v>
      </c>
      <c r="B76" s="15" t="s">
        <v>90</v>
      </c>
      <c r="C76" s="11" t="s">
        <v>88</v>
      </c>
      <c r="D76" s="4"/>
      <c r="E76" s="4"/>
      <c r="F76" s="4"/>
      <c r="G76" s="4"/>
      <c r="H76" s="4"/>
      <c r="I76" s="4"/>
      <c r="J76" s="4"/>
      <c r="K76" s="11">
        <f t="shared" si="3"/>
        <v>0</v>
      </c>
      <c r="L76" s="26">
        <v>287</v>
      </c>
      <c r="M76" s="25">
        <f t="shared" si="1"/>
        <v>0</v>
      </c>
    </row>
    <row r="77" spans="1:13">
      <c r="A77" s="12">
        <f t="shared" si="2"/>
        <v>64</v>
      </c>
      <c r="B77" s="15" t="s">
        <v>91</v>
      </c>
      <c r="C77" s="11" t="s">
        <v>18</v>
      </c>
      <c r="D77" s="4"/>
      <c r="E77" s="4"/>
      <c r="F77" s="4"/>
      <c r="G77" s="4"/>
      <c r="H77" s="4"/>
      <c r="I77" s="4"/>
      <c r="J77" s="4"/>
      <c r="K77" s="11">
        <f t="shared" si="3"/>
        <v>0</v>
      </c>
      <c r="L77" s="7">
        <v>50</v>
      </c>
      <c r="M77" s="25">
        <f t="shared" si="1"/>
        <v>0</v>
      </c>
    </row>
    <row r="78" spans="1:13">
      <c r="A78" s="12">
        <f t="shared" si="2"/>
        <v>65</v>
      </c>
      <c r="B78" s="15" t="s">
        <v>151</v>
      </c>
      <c r="C78" s="11" t="s">
        <v>18</v>
      </c>
      <c r="D78" s="4">
        <v>20</v>
      </c>
      <c r="E78" s="4"/>
      <c r="F78" s="4"/>
      <c r="G78" s="4"/>
      <c r="H78" s="4"/>
      <c r="I78" s="4"/>
      <c r="J78" s="4"/>
      <c r="K78" s="11">
        <f t="shared" si="3"/>
        <v>20</v>
      </c>
      <c r="L78" s="7">
        <v>30</v>
      </c>
      <c r="M78" s="25">
        <f t="shared" si="1"/>
        <v>600</v>
      </c>
    </row>
    <row r="79" spans="1:13">
      <c r="A79" s="12">
        <f t="shared" si="2"/>
        <v>66</v>
      </c>
      <c r="B79" s="15" t="s">
        <v>92</v>
      </c>
      <c r="C79" s="11" t="s">
        <v>18</v>
      </c>
      <c r="D79" s="4"/>
      <c r="E79" s="4"/>
      <c r="F79" s="4"/>
      <c r="G79" s="4"/>
      <c r="H79" s="4"/>
      <c r="I79" s="4"/>
      <c r="J79" s="4"/>
      <c r="K79" s="11">
        <f t="shared" si="3"/>
        <v>0</v>
      </c>
      <c r="L79" s="7">
        <v>32</v>
      </c>
      <c r="M79" s="25">
        <f t="shared" si="1"/>
        <v>0</v>
      </c>
    </row>
    <row r="80" spans="1:13">
      <c r="A80" s="12">
        <f t="shared" ref="A80:A138" si="4">A79+1</f>
        <v>67</v>
      </c>
      <c r="B80" s="15" t="s">
        <v>93</v>
      </c>
      <c r="C80" s="11" t="s">
        <v>18</v>
      </c>
      <c r="D80" s="4"/>
      <c r="E80" s="4"/>
      <c r="F80" s="4"/>
      <c r="G80" s="4"/>
      <c r="H80" s="4"/>
      <c r="I80" s="4"/>
      <c r="J80" s="4"/>
      <c r="K80" s="11">
        <f t="shared" si="3"/>
        <v>0</v>
      </c>
      <c r="L80" s="7">
        <v>37</v>
      </c>
      <c r="M80" s="25">
        <f t="shared" ref="M80:M138" si="5">K80*L80</f>
        <v>0</v>
      </c>
    </row>
    <row r="81" spans="1:13">
      <c r="A81" s="12">
        <f t="shared" si="4"/>
        <v>68</v>
      </c>
      <c r="B81" s="15" t="s">
        <v>94</v>
      </c>
      <c r="C81" s="11" t="s">
        <v>18</v>
      </c>
      <c r="D81" s="4"/>
      <c r="E81" s="4"/>
      <c r="F81" s="4"/>
      <c r="G81" s="4"/>
      <c r="H81" s="4"/>
      <c r="I81" s="4"/>
      <c r="J81" s="4"/>
      <c r="K81" s="11">
        <f t="shared" si="3"/>
        <v>0</v>
      </c>
      <c r="L81" s="7">
        <v>39</v>
      </c>
      <c r="M81" s="25">
        <f t="shared" si="5"/>
        <v>0</v>
      </c>
    </row>
    <row r="82" spans="1:13">
      <c r="A82" s="12">
        <f t="shared" si="4"/>
        <v>69</v>
      </c>
      <c r="B82" s="15" t="s">
        <v>95</v>
      </c>
      <c r="C82" s="11" t="s">
        <v>18</v>
      </c>
      <c r="D82" s="4"/>
      <c r="E82" s="4"/>
      <c r="F82" s="4"/>
      <c r="G82" s="4"/>
      <c r="H82" s="4"/>
      <c r="I82" s="4"/>
      <c r="J82" s="4"/>
      <c r="K82" s="11">
        <f t="shared" si="3"/>
        <v>0</v>
      </c>
      <c r="L82" s="7">
        <v>29</v>
      </c>
      <c r="M82" s="25">
        <f t="shared" si="5"/>
        <v>0</v>
      </c>
    </row>
    <row r="83" spans="1:13">
      <c r="A83" s="12">
        <f t="shared" si="4"/>
        <v>70</v>
      </c>
      <c r="B83" s="15" t="s">
        <v>96</v>
      </c>
      <c r="C83" s="11" t="s">
        <v>18</v>
      </c>
      <c r="D83" s="4"/>
      <c r="E83" s="4"/>
      <c r="F83" s="4"/>
      <c r="G83" s="4"/>
      <c r="H83" s="4"/>
      <c r="I83" s="4"/>
      <c r="J83" s="4"/>
      <c r="K83" s="11">
        <f t="shared" si="3"/>
        <v>0</v>
      </c>
      <c r="L83" s="7">
        <v>48</v>
      </c>
      <c r="M83" s="25">
        <f t="shared" si="5"/>
        <v>0</v>
      </c>
    </row>
    <row r="84" spans="1:13">
      <c r="A84" s="12">
        <f t="shared" si="4"/>
        <v>71</v>
      </c>
      <c r="B84" s="15" t="s">
        <v>97</v>
      </c>
      <c r="C84" s="11" t="s">
        <v>18</v>
      </c>
      <c r="D84" s="4"/>
      <c r="E84" s="4"/>
      <c r="F84" s="4"/>
      <c r="G84" s="4"/>
      <c r="H84" s="4"/>
      <c r="I84" s="4"/>
      <c r="J84" s="4"/>
      <c r="K84" s="11">
        <f t="shared" si="3"/>
        <v>0</v>
      </c>
      <c r="L84" s="7">
        <v>95</v>
      </c>
      <c r="M84" s="25">
        <f t="shared" si="5"/>
        <v>0</v>
      </c>
    </row>
    <row r="85" spans="1:13">
      <c r="A85" s="12">
        <f t="shared" si="4"/>
        <v>72</v>
      </c>
      <c r="B85" s="15" t="s">
        <v>98</v>
      </c>
      <c r="C85" s="11" t="s">
        <v>18</v>
      </c>
      <c r="D85" s="4"/>
      <c r="E85" s="4"/>
      <c r="F85" s="4"/>
      <c r="G85" s="4"/>
      <c r="H85" s="4"/>
      <c r="I85" s="4"/>
      <c r="J85" s="4"/>
      <c r="K85" s="11">
        <f t="shared" si="3"/>
        <v>0</v>
      </c>
      <c r="L85" s="7">
        <v>48</v>
      </c>
      <c r="M85" s="25">
        <f t="shared" si="5"/>
        <v>0</v>
      </c>
    </row>
    <row r="86" spans="1:13">
      <c r="A86" s="12">
        <f t="shared" si="4"/>
        <v>73</v>
      </c>
      <c r="B86" s="15" t="s">
        <v>99</v>
      </c>
      <c r="C86" s="11" t="s">
        <v>18</v>
      </c>
      <c r="D86" s="4"/>
      <c r="E86" s="4"/>
      <c r="F86" s="4"/>
      <c r="G86" s="4"/>
      <c r="H86" s="4"/>
      <c r="I86" s="4"/>
      <c r="J86" s="4"/>
      <c r="K86" s="11">
        <f t="shared" si="3"/>
        <v>0</v>
      </c>
      <c r="L86" s="7">
        <v>48</v>
      </c>
      <c r="M86" s="25">
        <f t="shared" si="5"/>
        <v>0</v>
      </c>
    </row>
    <row r="87" spans="1:13">
      <c r="A87" s="12">
        <f t="shared" si="4"/>
        <v>74</v>
      </c>
      <c r="B87" s="15" t="s">
        <v>100</v>
      </c>
      <c r="C87" s="11" t="s">
        <v>18</v>
      </c>
      <c r="D87" s="4"/>
      <c r="E87" s="4"/>
      <c r="F87" s="4"/>
      <c r="G87" s="4"/>
      <c r="H87" s="4"/>
      <c r="I87" s="4"/>
      <c r="J87" s="4"/>
      <c r="K87" s="11">
        <f t="shared" si="3"/>
        <v>0</v>
      </c>
      <c r="L87" s="7">
        <v>48</v>
      </c>
      <c r="M87" s="25">
        <f t="shared" si="5"/>
        <v>0</v>
      </c>
    </row>
    <row r="88" spans="1:13">
      <c r="A88" s="12">
        <f t="shared" si="4"/>
        <v>75</v>
      </c>
      <c r="B88" s="15" t="s">
        <v>101</v>
      </c>
      <c r="C88" s="11" t="s">
        <v>18</v>
      </c>
      <c r="D88" s="4"/>
      <c r="E88" s="4"/>
      <c r="F88" s="4"/>
      <c r="G88" s="4"/>
      <c r="H88" s="4"/>
      <c r="I88" s="4"/>
      <c r="J88" s="4"/>
      <c r="K88" s="11">
        <f t="shared" si="3"/>
        <v>0</v>
      </c>
      <c r="L88" s="7">
        <v>40</v>
      </c>
      <c r="M88" s="25">
        <f t="shared" si="5"/>
        <v>0</v>
      </c>
    </row>
    <row r="89" spans="1:13">
      <c r="A89" s="12">
        <f t="shared" si="4"/>
        <v>76</v>
      </c>
      <c r="B89" s="15" t="s">
        <v>102</v>
      </c>
      <c r="C89" s="11" t="s">
        <v>18</v>
      </c>
      <c r="D89" s="4"/>
      <c r="E89" s="4"/>
      <c r="F89" s="4"/>
      <c r="G89" s="4"/>
      <c r="H89" s="4"/>
      <c r="I89" s="4"/>
      <c r="J89" s="4"/>
      <c r="K89" s="11">
        <f t="shared" si="3"/>
        <v>0</v>
      </c>
      <c r="L89" s="7">
        <v>194</v>
      </c>
      <c r="M89" s="25">
        <f t="shared" si="5"/>
        <v>0</v>
      </c>
    </row>
    <row r="90" spans="1:13">
      <c r="A90" s="12">
        <f t="shared" si="4"/>
        <v>77</v>
      </c>
      <c r="B90" s="15" t="s">
        <v>103</v>
      </c>
      <c r="C90" s="11" t="s">
        <v>18</v>
      </c>
      <c r="D90" s="4"/>
      <c r="E90" s="4"/>
      <c r="F90" s="4"/>
      <c r="G90" s="4"/>
      <c r="H90" s="4"/>
      <c r="I90" s="4"/>
      <c r="J90" s="4"/>
      <c r="K90" s="11">
        <f t="shared" si="3"/>
        <v>0</v>
      </c>
      <c r="L90" s="7">
        <v>81</v>
      </c>
      <c r="M90" s="25">
        <f t="shared" si="5"/>
        <v>0</v>
      </c>
    </row>
    <row r="91" spans="1:13">
      <c r="A91" s="12">
        <f t="shared" si="4"/>
        <v>78</v>
      </c>
      <c r="B91" s="15" t="s">
        <v>147</v>
      </c>
      <c r="C91" s="11" t="s">
        <v>18</v>
      </c>
      <c r="D91" s="4"/>
      <c r="E91" s="4"/>
      <c r="F91" s="4"/>
      <c r="G91" s="4"/>
      <c r="H91" s="4"/>
      <c r="I91" s="4"/>
      <c r="J91" s="4"/>
      <c r="K91" s="11">
        <f t="shared" si="3"/>
        <v>0</v>
      </c>
      <c r="L91" s="7">
        <v>24</v>
      </c>
      <c r="M91" s="25">
        <f t="shared" si="5"/>
        <v>0</v>
      </c>
    </row>
    <row r="92" spans="1:13">
      <c r="A92" s="12">
        <f t="shared" si="4"/>
        <v>79</v>
      </c>
      <c r="B92" s="15" t="s">
        <v>104</v>
      </c>
      <c r="C92" s="11" t="s">
        <v>105</v>
      </c>
      <c r="D92" s="4">
        <v>1</v>
      </c>
      <c r="E92" s="4"/>
      <c r="F92" s="4"/>
      <c r="G92" s="4"/>
      <c r="H92" s="4"/>
      <c r="I92" s="4"/>
      <c r="J92" s="4"/>
      <c r="K92" s="11">
        <f t="shared" si="3"/>
        <v>1</v>
      </c>
      <c r="L92" s="7">
        <v>138</v>
      </c>
      <c r="M92" s="25">
        <f t="shared" si="5"/>
        <v>138</v>
      </c>
    </row>
    <row r="93" spans="1:13">
      <c r="A93" s="12">
        <f t="shared" si="4"/>
        <v>80</v>
      </c>
      <c r="B93" s="15" t="s">
        <v>106</v>
      </c>
      <c r="C93" s="11" t="s">
        <v>18</v>
      </c>
      <c r="D93" s="4"/>
      <c r="E93" s="4"/>
      <c r="F93" s="4"/>
      <c r="G93" s="4"/>
      <c r="H93" s="4"/>
      <c r="I93" s="4"/>
      <c r="J93" s="4"/>
      <c r="K93" s="11">
        <f t="shared" si="3"/>
        <v>0</v>
      </c>
      <c r="L93" s="26">
        <v>300</v>
      </c>
      <c r="M93" s="25">
        <f t="shared" si="5"/>
        <v>0</v>
      </c>
    </row>
    <row r="94" spans="1:13">
      <c r="A94" s="12">
        <f t="shared" si="4"/>
        <v>81</v>
      </c>
      <c r="B94" s="15" t="s">
        <v>107</v>
      </c>
      <c r="C94" s="11" t="s">
        <v>18</v>
      </c>
      <c r="D94" s="4"/>
      <c r="E94" s="4"/>
      <c r="F94" s="4"/>
      <c r="G94" s="4"/>
      <c r="H94" s="4"/>
      <c r="I94" s="4"/>
      <c r="J94" s="4"/>
      <c r="K94" s="11">
        <f t="shared" si="3"/>
        <v>0</v>
      </c>
      <c r="L94" s="9">
        <v>65</v>
      </c>
      <c r="M94" s="25">
        <f t="shared" si="5"/>
        <v>0</v>
      </c>
    </row>
    <row r="95" spans="1:13">
      <c r="A95" s="12">
        <f t="shared" si="4"/>
        <v>82</v>
      </c>
      <c r="B95" s="15" t="s">
        <v>108</v>
      </c>
      <c r="C95" s="11" t="s">
        <v>18</v>
      </c>
      <c r="D95" s="4">
        <v>22</v>
      </c>
      <c r="E95" s="4"/>
      <c r="F95" s="4"/>
      <c r="G95" s="4"/>
      <c r="H95" s="4"/>
      <c r="I95" s="4"/>
      <c r="J95" s="4"/>
      <c r="K95" s="11">
        <f t="shared" si="3"/>
        <v>22</v>
      </c>
      <c r="L95" s="9">
        <v>32</v>
      </c>
      <c r="M95" s="25">
        <f t="shared" si="5"/>
        <v>704</v>
      </c>
    </row>
    <row r="96" spans="1:13">
      <c r="A96" s="12">
        <f t="shared" si="4"/>
        <v>83</v>
      </c>
      <c r="B96" s="15" t="s">
        <v>109</v>
      </c>
      <c r="C96" s="11" t="s">
        <v>18</v>
      </c>
      <c r="D96" s="4">
        <v>0.5</v>
      </c>
      <c r="E96" s="4"/>
      <c r="F96" s="4"/>
      <c r="G96" s="4"/>
      <c r="H96" s="4"/>
      <c r="I96" s="4"/>
      <c r="J96" s="4"/>
      <c r="K96" s="11">
        <f t="shared" si="3"/>
        <v>0.5</v>
      </c>
      <c r="L96" s="9">
        <v>200</v>
      </c>
      <c r="M96" s="25">
        <f t="shared" si="5"/>
        <v>100</v>
      </c>
    </row>
    <row r="97" spans="1:13">
      <c r="A97" s="12">
        <f t="shared" si="4"/>
        <v>84</v>
      </c>
      <c r="B97" s="15" t="s">
        <v>148</v>
      </c>
      <c r="C97" s="11" t="s">
        <v>18</v>
      </c>
      <c r="D97" s="4">
        <v>0.5</v>
      </c>
      <c r="E97" s="4"/>
      <c r="F97" s="4"/>
      <c r="G97" s="4"/>
      <c r="H97" s="4"/>
      <c r="I97" s="4"/>
      <c r="J97" s="4"/>
      <c r="K97" s="11">
        <f t="shared" si="3"/>
        <v>0.5</v>
      </c>
      <c r="L97" s="9">
        <v>114</v>
      </c>
      <c r="M97" s="25">
        <f t="shared" si="5"/>
        <v>57</v>
      </c>
    </row>
    <row r="98" spans="1:13">
      <c r="A98" s="12">
        <f t="shared" si="4"/>
        <v>85</v>
      </c>
      <c r="B98" s="15" t="s">
        <v>110</v>
      </c>
      <c r="C98" s="11" t="s">
        <v>18</v>
      </c>
      <c r="D98" s="4"/>
      <c r="E98" s="4"/>
      <c r="F98" s="4"/>
      <c r="G98" s="4"/>
      <c r="H98" s="4"/>
      <c r="I98" s="4"/>
      <c r="J98" s="4"/>
      <c r="K98" s="11">
        <f t="shared" si="3"/>
        <v>0</v>
      </c>
      <c r="L98" s="9">
        <v>156</v>
      </c>
      <c r="M98" s="25">
        <f t="shared" si="5"/>
        <v>0</v>
      </c>
    </row>
    <row r="99" spans="1:13">
      <c r="A99" s="12">
        <f t="shared" si="4"/>
        <v>86</v>
      </c>
      <c r="B99" s="15" t="s">
        <v>153</v>
      </c>
      <c r="C99" s="11" t="s">
        <v>18</v>
      </c>
      <c r="D99" s="4"/>
      <c r="E99" s="4"/>
      <c r="F99" s="4"/>
      <c r="G99" s="4"/>
      <c r="H99" s="4"/>
      <c r="I99" s="4"/>
      <c r="J99" s="4"/>
      <c r="K99" s="11">
        <f t="shared" si="3"/>
        <v>0</v>
      </c>
      <c r="L99" s="26">
        <v>90</v>
      </c>
      <c r="M99" s="25">
        <f t="shared" si="5"/>
        <v>0</v>
      </c>
    </row>
    <row r="100" spans="1:13">
      <c r="A100" s="12">
        <f t="shared" si="4"/>
        <v>87</v>
      </c>
      <c r="B100" s="15" t="s">
        <v>111</v>
      </c>
      <c r="C100" s="11" t="s">
        <v>18</v>
      </c>
      <c r="D100" s="4"/>
      <c r="E100" s="4"/>
      <c r="F100" s="4"/>
      <c r="G100" s="4"/>
      <c r="H100" s="4"/>
      <c r="I100" s="4"/>
      <c r="J100" s="4"/>
      <c r="K100" s="11">
        <f t="shared" si="3"/>
        <v>0</v>
      </c>
      <c r="L100" s="9">
        <v>26</v>
      </c>
      <c r="M100" s="25">
        <f t="shared" si="5"/>
        <v>0</v>
      </c>
    </row>
    <row r="101" spans="1:13">
      <c r="A101" s="12">
        <f t="shared" si="4"/>
        <v>88</v>
      </c>
      <c r="B101" s="15" t="s">
        <v>112</v>
      </c>
      <c r="C101" s="11" t="s">
        <v>18</v>
      </c>
      <c r="D101" s="4">
        <v>1</v>
      </c>
      <c r="E101" s="4"/>
      <c r="F101" s="4"/>
      <c r="G101" s="4"/>
      <c r="H101" s="4"/>
      <c r="I101" s="4"/>
      <c r="J101" s="4"/>
      <c r="K101" s="11">
        <f t="shared" si="3"/>
        <v>1</v>
      </c>
      <c r="L101" s="9">
        <v>85</v>
      </c>
      <c r="M101" s="25">
        <f t="shared" si="5"/>
        <v>85</v>
      </c>
    </row>
    <row r="102" spans="1:13">
      <c r="A102" s="12">
        <f t="shared" si="4"/>
        <v>89</v>
      </c>
      <c r="B102" s="15" t="s">
        <v>113</v>
      </c>
      <c r="C102" s="11" t="s">
        <v>18</v>
      </c>
      <c r="D102" s="4"/>
      <c r="E102" s="4"/>
      <c r="F102" s="4"/>
      <c r="G102" s="4"/>
      <c r="H102" s="4"/>
      <c r="I102" s="4"/>
      <c r="J102" s="4"/>
      <c r="K102" s="11">
        <f t="shared" si="3"/>
        <v>0</v>
      </c>
      <c r="L102" s="9">
        <v>35</v>
      </c>
      <c r="M102" s="25">
        <f t="shared" si="5"/>
        <v>0</v>
      </c>
    </row>
    <row r="103" spans="1:13">
      <c r="A103" s="12">
        <f t="shared" si="4"/>
        <v>90</v>
      </c>
      <c r="B103" s="15" t="s">
        <v>114</v>
      </c>
      <c r="C103" s="11" t="s">
        <v>18</v>
      </c>
      <c r="D103" s="4">
        <v>2</v>
      </c>
      <c r="E103" s="4"/>
      <c r="F103" s="4"/>
      <c r="G103" s="4"/>
      <c r="H103" s="4"/>
      <c r="I103" s="4"/>
      <c r="J103" s="4"/>
      <c r="K103" s="11">
        <f t="shared" si="3"/>
        <v>2</v>
      </c>
      <c r="L103" s="9">
        <v>20</v>
      </c>
      <c r="M103" s="25">
        <f t="shared" si="5"/>
        <v>40</v>
      </c>
    </row>
    <row r="104" spans="1:13">
      <c r="A104" s="12">
        <f t="shared" si="4"/>
        <v>91</v>
      </c>
      <c r="B104" s="15" t="s">
        <v>115</v>
      </c>
      <c r="C104" s="11" t="s">
        <v>23</v>
      </c>
      <c r="D104" s="4"/>
      <c r="E104" s="4"/>
      <c r="F104" s="4"/>
      <c r="G104" s="4"/>
      <c r="H104" s="4"/>
      <c r="I104" s="4"/>
      <c r="J104" s="4"/>
      <c r="K104" s="11">
        <f t="shared" si="3"/>
        <v>0</v>
      </c>
      <c r="L104" s="9">
        <v>8</v>
      </c>
      <c r="M104" s="25">
        <f t="shared" si="5"/>
        <v>0</v>
      </c>
    </row>
    <row r="105" spans="1:13">
      <c r="A105" s="12">
        <f t="shared" si="4"/>
        <v>92</v>
      </c>
      <c r="B105" s="15" t="s">
        <v>116</v>
      </c>
      <c r="C105" s="11" t="s">
        <v>18</v>
      </c>
      <c r="D105" s="4"/>
      <c r="E105" s="4"/>
      <c r="F105" s="4"/>
      <c r="G105" s="4"/>
      <c r="H105" s="4"/>
      <c r="I105" s="4"/>
      <c r="J105" s="4"/>
      <c r="K105" s="11">
        <f t="shared" si="3"/>
        <v>0</v>
      </c>
      <c r="L105" s="9">
        <v>23</v>
      </c>
      <c r="M105" s="25">
        <f t="shared" si="5"/>
        <v>0</v>
      </c>
    </row>
    <row r="106" spans="1:13">
      <c r="A106" s="12">
        <f t="shared" si="4"/>
        <v>93</v>
      </c>
      <c r="B106" s="15" t="s">
        <v>117</v>
      </c>
      <c r="C106" s="11" t="s">
        <v>18</v>
      </c>
      <c r="D106" s="4"/>
      <c r="E106" s="4"/>
      <c r="F106" s="4"/>
      <c r="G106" s="4"/>
      <c r="H106" s="4"/>
      <c r="I106" s="4"/>
      <c r="J106" s="4"/>
      <c r="K106" s="11">
        <f t="shared" si="3"/>
        <v>0</v>
      </c>
      <c r="L106" s="9">
        <v>55</v>
      </c>
      <c r="M106" s="25">
        <f t="shared" si="5"/>
        <v>0</v>
      </c>
    </row>
    <row r="107" spans="1:13">
      <c r="A107" s="12">
        <f t="shared" si="4"/>
        <v>94</v>
      </c>
      <c r="B107" s="15" t="s">
        <v>118</v>
      </c>
      <c r="C107" s="11" t="s">
        <v>18</v>
      </c>
      <c r="D107" s="4">
        <v>0.1</v>
      </c>
      <c r="E107" s="4"/>
      <c r="F107" s="4"/>
      <c r="G107" s="4"/>
      <c r="H107" s="4"/>
      <c r="I107" s="4"/>
      <c r="J107" s="4"/>
      <c r="K107" s="11">
        <f t="shared" si="3"/>
        <v>0.1</v>
      </c>
      <c r="L107" s="9">
        <v>104</v>
      </c>
      <c r="M107" s="25">
        <f t="shared" si="5"/>
        <v>10.4</v>
      </c>
    </row>
    <row r="108" spans="1:13">
      <c r="A108" s="12">
        <f t="shared" si="4"/>
        <v>95</v>
      </c>
      <c r="B108" s="15" t="s">
        <v>119</v>
      </c>
      <c r="C108" s="11" t="s">
        <v>18</v>
      </c>
      <c r="D108" s="4"/>
      <c r="E108" s="4"/>
      <c r="F108" s="4"/>
      <c r="G108" s="4"/>
      <c r="H108" s="4"/>
      <c r="I108" s="4"/>
      <c r="J108" s="4"/>
      <c r="K108" s="11">
        <f t="shared" si="3"/>
        <v>0</v>
      </c>
      <c r="L108" s="9">
        <v>29.5</v>
      </c>
      <c r="M108" s="25">
        <f t="shared" si="5"/>
        <v>0</v>
      </c>
    </row>
    <row r="109" spans="1:13">
      <c r="A109" s="12">
        <f t="shared" si="4"/>
        <v>96</v>
      </c>
      <c r="B109" s="15" t="s">
        <v>120</v>
      </c>
      <c r="C109" s="11" t="s">
        <v>18</v>
      </c>
      <c r="D109" s="8"/>
      <c r="E109" s="3"/>
      <c r="F109" s="3"/>
      <c r="G109" s="3"/>
      <c r="H109" s="3"/>
      <c r="I109" s="3"/>
      <c r="J109" s="3"/>
      <c r="K109" s="11">
        <f t="shared" si="3"/>
        <v>0</v>
      </c>
      <c r="L109" s="9">
        <v>29</v>
      </c>
      <c r="M109" s="25">
        <f t="shared" si="5"/>
        <v>0</v>
      </c>
    </row>
    <row r="110" spans="1:13">
      <c r="A110" s="12">
        <f t="shared" si="4"/>
        <v>97</v>
      </c>
      <c r="B110" s="15" t="s">
        <v>121</v>
      </c>
      <c r="C110" s="11" t="s">
        <v>25</v>
      </c>
      <c r="D110" s="4"/>
      <c r="E110" s="4"/>
      <c r="F110" s="4"/>
      <c r="G110" s="4"/>
      <c r="H110" s="4"/>
      <c r="I110" s="4"/>
      <c r="J110" s="4"/>
      <c r="K110" s="11">
        <f t="shared" ref="K110:K142" si="6">SUM(D110:J110)</f>
        <v>0</v>
      </c>
      <c r="L110" s="17">
        <v>130</v>
      </c>
      <c r="M110" s="25">
        <f t="shared" si="5"/>
        <v>0</v>
      </c>
    </row>
    <row r="111" spans="1:13">
      <c r="A111" s="12">
        <f t="shared" si="4"/>
        <v>98</v>
      </c>
      <c r="B111" s="15" t="s">
        <v>122</v>
      </c>
      <c r="C111" s="11" t="s">
        <v>21</v>
      </c>
      <c r="D111" s="4"/>
      <c r="E111" s="4"/>
      <c r="F111" s="4"/>
      <c r="G111" s="4"/>
      <c r="H111" s="4"/>
      <c r="I111" s="4"/>
      <c r="J111" s="4"/>
      <c r="K111" s="11">
        <f t="shared" si="6"/>
        <v>0</v>
      </c>
      <c r="L111" s="9">
        <v>68</v>
      </c>
      <c r="M111" s="25">
        <f t="shared" si="5"/>
        <v>0</v>
      </c>
    </row>
    <row r="112" spans="1:13">
      <c r="A112" s="12">
        <f t="shared" si="4"/>
        <v>99</v>
      </c>
      <c r="B112" s="15" t="s">
        <v>123</v>
      </c>
      <c r="C112" s="11" t="s">
        <v>18</v>
      </c>
      <c r="D112" s="4"/>
      <c r="E112" s="4"/>
      <c r="F112" s="4"/>
      <c r="G112" s="4"/>
      <c r="H112" s="4"/>
      <c r="I112" s="4"/>
      <c r="J112" s="4"/>
      <c r="K112" s="11">
        <f t="shared" si="6"/>
        <v>0</v>
      </c>
      <c r="L112" s="9">
        <v>287</v>
      </c>
      <c r="M112" s="25">
        <f t="shared" si="5"/>
        <v>0</v>
      </c>
    </row>
    <row r="113" spans="1:13">
      <c r="A113" s="12">
        <f t="shared" si="4"/>
        <v>100</v>
      </c>
      <c r="B113" s="15" t="s">
        <v>124</v>
      </c>
      <c r="C113" s="11" t="s">
        <v>18</v>
      </c>
      <c r="D113" s="4"/>
      <c r="E113" s="4"/>
      <c r="F113" s="4"/>
      <c r="G113" s="4"/>
      <c r="H113" s="4"/>
      <c r="I113" s="4"/>
      <c r="J113" s="4"/>
      <c r="K113" s="11">
        <f t="shared" si="6"/>
        <v>0</v>
      </c>
      <c r="L113" s="9">
        <v>120</v>
      </c>
      <c r="M113" s="25">
        <f t="shared" si="5"/>
        <v>0</v>
      </c>
    </row>
    <row r="114" spans="1:13">
      <c r="A114" s="12">
        <f t="shared" si="4"/>
        <v>101</v>
      </c>
      <c r="B114" s="15" t="s">
        <v>125</v>
      </c>
      <c r="C114" s="11" t="s">
        <v>18</v>
      </c>
      <c r="D114" s="4"/>
      <c r="E114" s="4"/>
      <c r="F114" s="4"/>
      <c r="G114" s="4"/>
      <c r="H114" s="4"/>
      <c r="I114" s="4"/>
      <c r="J114" s="4"/>
      <c r="K114" s="11">
        <f t="shared" si="6"/>
        <v>0</v>
      </c>
      <c r="L114" s="9">
        <v>78</v>
      </c>
      <c r="M114" s="25">
        <f t="shared" si="5"/>
        <v>0</v>
      </c>
    </row>
    <row r="115" spans="1:13">
      <c r="A115" s="12">
        <f t="shared" si="4"/>
        <v>102</v>
      </c>
      <c r="B115" s="15" t="s">
        <v>126</v>
      </c>
      <c r="C115" s="11" t="s">
        <v>18</v>
      </c>
      <c r="D115" s="4"/>
      <c r="E115" s="4"/>
      <c r="F115" s="4"/>
      <c r="G115" s="4"/>
      <c r="H115" s="4"/>
      <c r="I115" s="4"/>
      <c r="J115" s="4"/>
      <c r="K115" s="11">
        <f t="shared" si="6"/>
        <v>0</v>
      </c>
      <c r="L115" s="9">
        <v>108</v>
      </c>
      <c r="M115" s="25">
        <f t="shared" si="5"/>
        <v>0</v>
      </c>
    </row>
    <row r="116" spans="1:13">
      <c r="A116" s="12">
        <f t="shared" si="4"/>
        <v>103</v>
      </c>
      <c r="B116" s="15" t="s">
        <v>127</v>
      </c>
      <c r="C116" s="11" t="s">
        <v>18</v>
      </c>
      <c r="D116" s="4">
        <v>1</v>
      </c>
      <c r="E116" s="4"/>
      <c r="F116" s="4"/>
      <c r="G116" s="4"/>
      <c r="H116" s="4"/>
      <c r="I116" s="4"/>
      <c r="J116" s="4"/>
      <c r="K116" s="11">
        <f t="shared" si="6"/>
        <v>1</v>
      </c>
      <c r="L116" s="9">
        <v>56</v>
      </c>
      <c r="M116" s="25">
        <f t="shared" si="5"/>
        <v>56</v>
      </c>
    </row>
    <row r="117" spans="1:13">
      <c r="A117" s="12">
        <f t="shared" si="4"/>
        <v>104</v>
      </c>
      <c r="B117" s="15" t="s">
        <v>128</v>
      </c>
      <c r="C117" s="11" t="s">
        <v>18</v>
      </c>
      <c r="D117" s="4"/>
      <c r="E117" s="4"/>
      <c r="F117" s="4"/>
      <c r="G117" s="4"/>
      <c r="H117" s="4"/>
      <c r="I117" s="4"/>
      <c r="J117" s="4"/>
      <c r="K117" s="11">
        <f t="shared" si="6"/>
        <v>0</v>
      </c>
      <c r="L117" s="9">
        <v>72</v>
      </c>
      <c r="M117" s="25">
        <f t="shared" si="5"/>
        <v>0</v>
      </c>
    </row>
    <row r="118" spans="1:13">
      <c r="A118" s="12">
        <f t="shared" si="4"/>
        <v>105</v>
      </c>
      <c r="B118" s="15" t="s">
        <v>129</v>
      </c>
      <c r="C118" s="11" t="s">
        <v>18</v>
      </c>
      <c r="D118" s="4"/>
      <c r="E118" s="4"/>
      <c r="F118" s="4"/>
      <c r="G118" s="4"/>
      <c r="H118" s="4"/>
      <c r="I118" s="4"/>
      <c r="J118" s="4"/>
      <c r="K118" s="11">
        <f t="shared" si="6"/>
        <v>0</v>
      </c>
      <c r="L118" s="9">
        <v>31</v>
      </c>
      <c r="M118" s="25">
        <f t="shared" si="5"/>
        <v>0</v>
      </c>
    </row>
    <row r="119" spans="1:13">
      <c r="A119" s="12">
        <f t="shared" si="4"/>
        <v>106</v>
      </c>
      <c r="B119" s="15" t="s">
        <v>130</v>
      </c>
      <c r="C119" s="11" t="s">
        <v>18</v>
      </c>
      <c r="D119" s="4"/>
      <c r="E119" s="4"/>
      <c r="F119" s="4"/>
      <c r="G119" s="4"/>
      <c r="H119" s="4"/>
      <c r="I119" s="4"/>
      <c r="J119" s="4"/>
      <c r="K119" s="11">
        <f t="shared" si="6"/>
        <v>0</v>
      </c>
      <c r="L119" s="17">
        <v>530</v>
      </c>
      <c r="M119" s="25">
        <f t="shared" si="5"/>
        <v>0</v>
      </c>
    </row>
    <row r="120" spans="1:13">
      <c r="A120" s="12">
        <f t="shared" si="4"/>
        <v>107</v>
      </c>
      <c r="B120" s="15" t="s">
        <v>131</v>
      </c>
      <c r="C120" s="11" t="s">
        <v>18</v>
      </c>
      <c r="D120" s="4"/>
      <c r="E120" s="4"/>
      <c r="F120" s="4"/>
      <c r="G120" s="4"/>
      <c r="H120" s="4"/>
      <c r="I120" s="4"/>
      <c r="J120" s="4"/>
      <c r="K120" s="11">
        <f t="shared" si="6"/>
        <v>0</v>
      </c>
      <c r="L120" s="17">
        <v>420</v>
      </c>
      <c r="M120" s="25">
        <f t="shared" si="5"/>
        <v>0</v>
      </c>
    </row>
    <row r="121" spans="1:13">
      <c r="A121" s="12">
        <f t="shared" si="4"/>
        <v>108</v>
      </c>
      <c r="B121" s="15" t="s">
        <v>132</v>
      </c>
      <c r="C121" s="11" t="s">
        <v>18</v>
      </c>
      <c r="D121" s="4"/>
      <c r="E121" s="4"/>
      <c r="F121" s="4"/>
      <c r="G121" s="4"/>
      <c r="H121" s="4"/>
      <c r="I121" s="4"/>
      <c r="J121" s="4"/>
      <c r="K121" s="11">
        <f t="shared" si="6"/>
        <v>0</v>
      </c>
      <c r="L121" s="9">
        <v>138</v>
      </c>
      <c r="M121" s="25">
        <f t="shared" si="5"/>
        <v>0</v>
      </c>
    </row>
    <row r="122" spans="1:13">
      <c r="A122" s="12">
        <f t="shared" si="4"/>
        <v>109</v>
      </c>
      <c r="B122" s="15" t="s">
        <v>133</v>
      </c>
      <c r="C122" s="11" t="s">
        <v>18</v>
      </c>
      <c r="D122" s="4">
        <v>0.1</v>
      </c>
      <c r="E122" s="4"/>
      <c r="F122" s="4"/>
      <c r="G122" s="4"/>
      <c r="H122" s="4"/>
      <c r="I122" s="4"/>
      <c r="J122" s="4"/>
      <c r="K122" s="11">
        <f t="shared" si="6"/>
        <v>0.1</v>
      </c>
      <c r="L122" s="9">
        <v>115</v>
      </c>
      <c r="M122" s="25">
        <f t="shared" si="5"/>
        <v>11.5</v>
      </c>
    </row>
    <row r="123" spans="1:13">
      <c r="A123" s="12">
        <f t="shared" si="4"/>
        <v>110</v>
      </c>
      <c r="B123" s="15" t="s">
        <v>134</v>
      </c>
      <c r="C123" s="11" t="s">
        <v>24</v>
      </c>
      <c r="D123" s="4"/>
      <c r="E123" s="4"/>
      <c r="F123" s="4"/>
      <c r="G123" s="4"/>
      <c r="H123" s="4"/>
      <c r="I123" s="4"/>
      <c r="J123" s="4"/>
      <c r="K123" s="11">
        <f t="shared" si="6"/>
        <v>0</v>
      </c>
      <c r="L123" s="9">
        <v>182</v>
      </c>
      <c r="M123" s="25">
        <f t="shared" si="5"/>
        <v>0</v>
      </c>
    </row>
    <row r="124" spans="1:13">
      <c r="A124" s="12">
        <f t="shared" si="4"/>
        <v>111</v>
      </c>
      <c r="B124" s="15" t="s">
        <v>135</v>
      </c>
      <c r="C124" s="11" t="s">
        <v>18</v>
      </c>
      <c r="D124" s="4"/>
      <c r="E124" s="4"/>
      <c r="F124" s="4"/>
      <c r="G124" s="4"/>
      <c r="H124" s="4"/>
      <c r="I124" s="4"/>
      <c r="J124" s="4"/>
      <c r="K124" s="11">
        <f t="shared" si="6"/>
        <v>0</v>
      </c>
      <c r="L124" s="9">
        <v>43</v>
      </c>
      <c r="M124" s="25">
        <f t="shared" si="5"/>
        <v>0</v>
      </c>
    </row>
    <row r="125" spans="1:13">
      <c r="A125" s="12">
        <f t="shared" si="4"/>
        <v>112</v>
      </c>
      <c r="B125" s="15" t="s">
        <v>136</v>
      </c>
      <c r="C125" s="11" t="s">
        <v>20</v>
      </c>
      <c r="D125" s="4"/>
      <c r="E125" s="4"/>
      <c r="F125" s="4"/>
      <c r="G125" s="4"/>
      <c r="H125" s="4"/>
      <c r="I125" s="4"/>
      <c r="J125" s="4"/>
      <c r="K125" s="11">
        <f t="shared" si="6"/>
        <v>0</v>
      </c>
      <c r="L125" s="17">
        <v>57</v>
      </c>
      <c r="M125" s="25">
        <f t="shared" si="5"/>
        <v>0</v>
      </c>
    </row>
    <row r="126" spans="1:13">
      <c r="A126" s="12">
        <f t="shared" si="4"/>
        <v>113</v>
      </c>
      <c r="B126" s="15" t="s">
        <v>137</v>
      </c>
      <c r="C126" s="11" t="s">
        <v>18</v>
      </c>
      <c r="D126" s="4">
        <v>1</v>
      </c>
      <c r="E126" s="4"/>
      <c r="F126" s="4"/>
      <c r="G126" s="4"/>
      <c r="H126" s="4"/>
      <c r="I126" s="4"/>
      <c r="J126" s="4"/>
      <c r="K126" s="11">
        <f t="shared" si="6"/>
        <v>1</v>
      </c>
      <c r="L126" s="9">
        <v>20</v>
      </c>
      <c r="M126" s="25">
        <f t="shared" si="5"/>
        <v>20</v>
      </c>
    </row>
    <row r="127" spans="1:13">
      <c r="A127" s="12">
        <f t="shared" si="4"/>
        <v>114</v>
      </c>
      <c r="B127" s="15" t="s">
        <v>138</v>
      </c>
      <c r="C127" s="11" t="s">
        <v>18</v>
      </c>
      <c r="D127" s="4"/>
      <c r="E127" s="4"/>
      <c r="F127" s="4"/>
      <c r="G127" s="4"/>
      <c r="H127" s="4"/>
      <c r="I127" s="4"/>
      <c r="J127" s="4"/>
      <c r="K127" s="11">
        <f t="shared" si="6"/>
        <v>0</v>
      </c>
      <c r="L127" s="9">
        <v>31</v>
      </c>
      <c r="M127" s="25">
        <f t="shared" si="5"/>
        <v>0</v>
      </c>
    </row>
    <row r="128" spans="1:13">
      <c r="A128" s="12">
        <f t="shared" si="4"/>
        <v>115</v>
      </c>
      <c r="B128" s="15" t="s">
        <v>149</v>
      </c>
      <c r="C128" s="11" t="s">
        <v>18</v>
      </c>
      <c r="D128" s="4"/>
      <c r="E128" s="4"/>
      <c r="F128" s="4"/>
      <c r="G128" s="4"/>
      <c r="H128" s="4"/>
      <c r="I128" s="4"/>
      <c r="J128" s="4"/>
      <c r="K128" s="11">
        <f t="shared" si="6"/>
        <v>0</v>
      </c>
      <c r="L128" s="9">
        <v>8</v>
      </c>
      <c r="M128" s="25">
        <f t="shared" si="5"/>
        <v>0</v>
      </c>
    </row>
    <row r="129" spans="1:13">
      <c r="A129" s="12">
        <f t="shared" si="4"/>
        <v>116</v>
      </c>
      <c r="B129" s="15" t="s">
        <v>150</v>
      </c>
      <c r="C129" s="11" t="s">
        <v>18</v>
      </c>
      <c r="D129" s="4">
        <v>10</v>
      </c>
      <c r="E129" s="4"/>
      <c r="F129" s="4"/>
      <c r="G129" s="4"/>
      <c r="H129" s="4"/>
      <c r="I129" s="4"/>
      <c r="J129" s="4"/>
      <c r="K129" s="11">
        <f t="shared" si="6"/>
        <v>10</v>
      </c>
      <c r="L129" s="9">
        <v>8.5</v>
      </c>
      <c r="M129" s="25">
        <f t="shared" si="5"/>
        <v>85</v>
      </c>
    </row>
    <row r="130" spans="1:13">
      <c r="A130" s="12">
        <f t="shared" si="4"/>
        <v>117</v>
      </c>
      <c r="B130" s="15" t="s">
        <v>139</v>
      </c>
      <c r="C130" s="11" t="s">
        <v>18</v>
      </c>
      <c r="D130" s="4"/>
      <c r="E130" s="4"/>
      <c r="F130" s="4"/>
      <c r="G130" s="4"/>
      <c r="H130" s="4"/>
      <c r="I130" s="4"/>
      <c r="J130" s="4"/>
      <c r="K130" s="11">
        <f t="shared" si="6"/>
        <v>0</v>
      </c>
      <c r="L130" s="9">
        <v>38</v>
      </c>
      <c r="M130" s="25">
        <f t="shared" si="5"/>
        <v>0</v>
      </c>
    </row>
    <row r="131" spans="1:13">
      <c r="A131" s="12">
        <f t="shared" si="4"/>
        <v>118</v>
      </c>
      <c r="B131" s="15" t="s">
        <v>140</v>
      </c>
      <c r="C131" s="11" t="s">
        <v>18</v>
      </c>
      <c r="D131" s="4"/>
      <c r="E131" s="4"/>
      <c r="F131" s="4"/>
      <c r="G131" s="4"/>
      <c r="H131" s="4"/>
      <c r="I131" s="4"/>
      <c r="J131" s="4"/>
      <c r="K131" s="11">
        <f t="shared" si="6"/>
        <v>0</v>
      </c>
      <c r="L131" s="9">
        <v>160</v>
      </c>
      <c r="M131" s="25">
        <f t="shared" si="5"/>
        <v>0</v>
      </c>
    </row>
    <row r="132" spans="1:13">
      <c r="A132" s="12">
        <f t="shared" si="4"/>
        <v>119</v>
      </c>
      <c r="B132" s="15" t="s">
        <v>141</v>
      </c>
      <c r="C132" s="11" t="s">
        <v>18</v>
      </c>
      <c r="D132" s="4"/>
      <c r="E132" s="4"/>
      <c r="F132" s="4"/>
      <c r="G132" s="4"/>
      <c r="H132" s="4"/>
      <c r="I132" s="4"/>
      <c r="J132" s="4"/>
      <c r="K132" s="11">
        <f t="shared" si="6"/>
        <v>0</v>
      </c>
      <c r="L132" s="9">
        <v>90</v>
      </c>
      <c r="M132" s="25">
        <f t="shared" si="5"/>
        <v>0</v>
      </c>
    </row>
    <row r="133" spans="1:13">
      <c r="A133" s="12">
        <f t="shared" si="4"/>
        <v>120</v>
      </c>
      <c r="B133" s="15" t="s">
        <v>142</v>
      </c>
      <c r="C133" s="11" t="s">
        <v>18</v>
      </c>
      <c r="D133" s="4"/>
      <c r="E133" s="4"/>
      <c r="F133" s="4"/>
      <c r="G133" s="4"/>
      <c r="H133" s="4"/>
      <c r="I133" s="4"/>
      <c r="J133" s="4"/>
      <c r="K133" s="11">
        <f t="shared" si="6"/>
        <v>0</v>
      </c>
      <c r="L133" s="9">
        <v>41</v>
      </c>
      <c r="M133" s="25">
        <f t="shared" si="5"/>
        <v>0</v>
      </c>
    </row>
    <row r="134" spans="1:13">
      <c r="A134" s="12">
        <f t="shared" si="4"/>
        <v>121</v>
      </c>
      <c r="B134" s="15" t="s">
        <v>143</v>
      </c>
      <c r="C134" s="11" t="s">
        <v>18</v>
      </c>
      <c r="D134" s="4">
        <v>1</v>
      </c>
      <c r="E134" s="4"/>
      <c r="F134" s="4"/>
      <c r="G134" s="4"/>
      <c r="H134" s="4"/>
      <c r="I134" s="4"/>
      <c r="J134" s="4"/>
      <c r="K134" s="11">
        <f t="shared" si="6"/>
        <v>1</v>
      </c>
      <c r="L134" s="9">
        <v>26.5</v>
      </c>
      <c r="M134" s="25">
        <f t="shared" si="5"/>
        <v>26.5</v>
      </c>
    </row>
    <row r="135" spans="1:13">
      <c r="A135" s="12">
        <f t="shared" si="4"/>
        <v>122</v>
      </c>
      <c r="B135" s="16" t="s">
        <v>144</v>
      </c>
      <c r="C135" s="11" t="s">
        <v>18</v>
      </c>
      <c r="D135" s="4"/>
      <c r="E135" s="4"/>
      <c r="F135" s="4"/>
      <c r="G135" s="4"/>
      <c r="H135" s="4"/>
      <c r="I135" s="4"/>
      <c r="J135" s="4"/>
      <c r="K135" s="11">
        <f t="shared" si="6"/>
        <v>0</v>
      </c>
      <c r="L135" s="7">
        <v>230</v>
      </c>
      <c r="M135" s="25">
        <f t="shared" si="5"/>
        <v>0</v>
      </c>
    </row>
    <row r="136" spans="1:13">
      <c r="A136" s="12">
        <f t="shared" si="4"/>
        <v>123</v>
      </c>
      <c r="B136" s="15" t="s">
        <v>154</v>
      </c>
      <c r="C136" s="11" t="s">
        <v>18</v>
      </c>
      <c r="D136" s="4"/>
      <c r="E136" s="4"/>
      <c r="F136" s="4"/>
      <c r="G136" s="4"/>
      <c r="H136" s="4"/>
      <c r="I136" s="4"/>
      <c r="J136" s="4"/>
      <c r="K136" s="11">
        <f t="shared" si="6"/>
        <v>0</v>
      </c>
      <c r="L136" s="9">
        <v>25</v>
      </c>
      <c r="M136" s="25">
        <f t="shared" si="5"/>
        <v>0</v>
      </c>
    </row>
    <row r="137" spans="1:13">
      <c r="A137" s="12">
        <f t="shared" si="4"/>
        <v>124</v>
      </c>
      <c r="B137" s="15" t="s">
        <v>145</v>
      </c>
      <c r="C137" s="11" t="s">
        <v>18</v>
      </c>
      <c r="D137" s="4"/>
      <c r="E137" s="4"/>
      <c r="F137" s="4"/>
      <c r="G137" s="4"/>
      <c r="H137" s="4"/>
      <c r="I137" s="4"/>
      <c r="J137" s="4"/>
      <c r="K137" s="11">
        <f t="shared" si="6"/>
        <v>0</v>
      </c>
      <c r="L137" s="9">
        <v>80</v>
      </c>
      <c r="M137" s="25">
        <f t="shared" si="5"/>
        <v>0</v>
      </c>
    </row>
    <row r="138" spans="1:13">
      <c r="A138" s="12">
        <f t="shared" si="4"/>
        <v>125</v>
      </c>
      <c r="B138" s="15" t="s">
        <v>146</v>
      </c>
      <c r="C138" s="11" t="s">
        <v>18</v>
      </c>
      <c r="D138" s="4">
        <v>0.1</v>
      </c>
      <c r="E138" s="4"/>
      <c r="F138" s="4"/>
      <c r="G138" s="4"/>
      <c r="H138" s="4"/>
      <c r="I138" s="4"/>
      <c r="J138" s="4"/>
      <c r="K138" s="11">
        <f>SUM(D138:J138)</f>
        <v>0.1</v>
      </c>
      <c r="L138" s="9">
        <v>132</v>
      </c>
      <c r="M138" s="25">
        <f t="shared" si="5"/>
        <v>13.200000000000001</v>
      </c>
    </row>
  </sheetData>
  <protectedRanges>
    <protectedRange sqref="D9" name="GERENTES_2_1"/>
    <protectedRange sqref="D15:J24" name="GERENTE"/>
    <protectedRange sqref="D14:J14" name="GERENTE_1"/>
    <protectedRange sqref="A14" name="GERENTE_2"/>
    <protectedRange sqref="A15:A138" name="GERENTE_1_1"/>
    <protectedRange sqref="B106:B109 B14:B104" name="GERENTE_1_1_1_3_1_1"/>
    <protectedRange sqref="B105" name="GERENTE_1_1_1_1_2_1_1"/>
    <protectedRange sqref="C106:C107 C14:C104" name="GERENTE_2_1_4_1_1"/>
    <protectedRange sqref="C105" name="GERENTE_2_1_1_3_1_1"/>
    <protectedRange sqref="L106:L107 L14:L104" name="GERENTE_2_1_2_1_1_1"/>
    <protectedRange sqref="L105" name="GERENTE_2_1_1_1_1_1_1"/>
  </protectedRanges>
  <mergeCells count="29">
    <mergeCell ref="M11:M13"/>
    <mergeCell ref="A11:A13"/>
    <mergeCell ref="B11:B13"/>
    <mergeCell ref="C11:C13"/>
    <mergeCell ref="D11:J11"/>
    <mergeCell ref="K11:K13"/>
    <mergeCell ref="L11:L13"/>
    <mergeCell ref="A7:C7"/>
    <mergeCell ref="D7:J7"/>
    <mergeCell ref="K7:M7"/>
    <mergeCell ref="K8:M9"/>
    <mergeCell ref="A9:C9"/>
    <mergeCell ref="D9:J9"/>
    <mergeCell ref="A8:C8"/>
    <mergeCell ref="D8:J8"/>
    <mergeCell ref="A4:C4"/>
    <mergeCell ref="D4:J4"/>
    <mergeCell ref="K4:M4"/>
    <mergeCell ref="A1:J1"/>
    <mergeCell ref="K1:M1"/>
    <mergeCell ref="A3:C3"/>
    <mergeCell ref="D3:J3"/>
    <mergeCell ref="K3:M3"/>
    <mergeCell ref="A6:C6"/>
    <mergeCell ref="D6:J6"/>
    <mergeCell ref="K6:M6"/>
    <mergeCell ref="A5:C5"/>
    <mergeCell ref="D5:J5"/>
    <mergeCell ref="K5:M5"/>
  </mergeCells>
  <dataValidations count="1">
    <dataValidation allowBlank="1" showInputMessage="1" showErrorMessage="1" sqref="D4:D5" xr:uid="{55D3D77B-6894-44A5-9228-6F1044F103CB}"/>
  </dataValidations>
  <hyperlinks>
    <hyperlink ref="K8" r:id="rId1" xr:uid="{A9D64F21-CBE4-4143-AD55-C82FB233F6B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comix</dc:creator>
  <cp:lastModifiedBy>comix</cp:lastModifiedBy>
  <dcterms:created xsi:type="dcterms:W3CDTF">2020-03-04T20:08:35Z</dcterms:created>
  <dcterms:modified xsi:type="dcterms:W3CDTF">2021-11-05T23:59:32Z</dcterms:modified>
</cp:coreProperties>
</file>