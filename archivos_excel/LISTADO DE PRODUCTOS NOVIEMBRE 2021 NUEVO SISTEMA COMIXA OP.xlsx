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RUPO LICA\ABASTECEDORA SAN JOSE\COMIXA\pedidos\2021\11 NOVIEMBRE\13 NOVIEMBRE\"/>
    </mc:Choice>
  </mc:AlternateContent>
  <xr:revisionPtr revIDLastSave="0" documentId="13_ncr:1_{57E5439E-A0CF-43C1-AFA5-67B87697CFA6}" xr6:coauthVersionLast="47" xr6:coauthVersionMax="47" xr10:uidLastSave="{00000000-0000-0000-0000-000000000000}"/>
  <bookViews>
    <workbookView xWindow="14580" yWindow="255" windowWidth="11220" windowHeight="15225" xr2:uid="{AB3A1223-B3E4-436C-999B-A35B77DDCACA}"/>
  </bookViews>
  <sheets>
    <sheet name="Hoja1" sheetId="1" r:id="rId1"/>
  </sheets>
  <definedNames>
    <definedName name="_xlnm._FilterDatabase" localSheetId="0" hidden="1">Hoja1!$B$8:$I$135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2" i="1" l="1"/>
  <c r="G80" i="1"/>
  <c r="G68" i="1"/>
  <c r="C137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79" i="1"/>
  <c r="G78" i="1"/>
  <c r="G77" i="1"/>
  <c r="G76" i="1"/>
  <c r="G75" i="1"/>
  <c r="G74" i="1"/>
  <c r="G73" i="1"/>
  <c r="G72" i="1"/>
  <c r="G71" i="1"/>
  <c r="G70" i="1"/>
  <c r="G69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138" i="1" l="1"/>
</calcChain>
</file>

<file path=xl/sharedStrings.xml><?xml version="1.0" encoding="utf-8"?>
<sst xmlns="http://schemas.openxmlformats.org/spreadsheetml/2006/main" count="397" uniqueCount="168">
  <si>
    <t>Achiote</t>
  </si>
  <si>
    <t>Ajo entero mediano</t>
  </si>
  <si>
    <t>Ajo entero gde</t>
  </si>
  <si>
    <t>Ajo molido</t>
  </si>
  <si>
    <t>Ajonjoli natural</t>
  </si>
  <si>
    <t>Ajonjoli negro</t>
  </si>
  <si>
    <t>Almendra</t>
  </si>
  <si>
    <t>Almendra fileteada</t>
  </si>
  <si>
    <t>Alubia chica</t>
  </si>
  <si>
    <t>Amaranto natural</t>
  </si>
  <si>
    <t>Anís estrella</t>
  </si>
  <si>
    <t xml:space="preserve">Arandano </t>
  </si>
  <si>
    <t xml:space="preserve">Arroz Sinaloa </t>
  </si>
  <si>
    <t>Avena</t>
  </si>
  <si>
    <t xml:space="preserve">Azucar  </t>
  </si>
  <si>
    <t>Cacahuate pelado</t>
  </si>
  <si>
    <t>Canela entera C5</t>
  </si>
  <si>
    <t>Carbonato</t>
  </si>
  <si>
    <t>Chia</t>
  </si>
  <si>
    <t>Chilacate</t>
  </si>
  <si>
    <t xml:space="preserve">Chile Ancho </t>
  </si>
  <si>
    <t xml:space="preserve">Chile Arbol sin cabo </t>
  </si>
  <si>
    <t xml:space="preserve">Chile Arbol en polvo </t>
  </si>
  <si>
    <t>Chile Cascabel</t>
  </si>
  <si>
    <t>Chile Chipotle</t>
  </si>
  <si>
    <t xml:space="preserve">Chile Mirasol  </t>
  </si>
  <si>
    <t>Chile Morita</t>
  </si>
  <si>
    <t>Chile Mulato</t>
  </si>
  <si>
    <t>Chile Pasilla</t>
  </si>
  <si>
    <t xml:space="preserve">Chile Tajin </t>
  </si>
  <si>
    <t>Ciruela pasa s/h</t>
  </si>
  <si>
    <t>Clavo entero</t>
  </si>
  <si>
    <t>Comino entero</t>
  </si>
  <si>
    <t xml:space="preserve">Consomé de Pollo Cucú </t>
  </si>
  <si>
    <t>Consomé de res</t>
  </si>
  <si>
    <t>Consomé de barbacoa</t>
  </si>
  <si>
    <t>Curry</t>
  </si>
  <si>
    <t>Frijol BAYO</t>
  </si>
  <si>
    <t>Frijol peruano Higuera 1a</t>
  </si>
  <si>
    <t>Frijol peruano blanco</t>
  </si>
  <si>
    <t>Frijol negro</t>
  </si>
  <si>
    <t>Garbanza</t>
  </si>
  <si>
    <t>Gragea de Colores</t>
  </si>
  <si>
    <t>Granillo de Colores</t>
  </si>
  <si>
    <t>Granillo de chocolate</t>
  </si>
  <si>
    <t>Grenetina Duche</t>
  </si>
  <si>
    <t>Haba</t>
  </si>
  <si>
    <t>Harina Integral</t>
  </si>
  <si>
    <t>Harina para hotcakes</t>
  </si>
  <si>
    <t>Hierbas finas</t>
  </si>
  <si>
    <t>Hojuela de papa</t>
  </si>
  <si>
    <t xml:space="preserve">Huevo </t>
  </si>
  <si>
    <t>Jamaica Colima</t>
  </si>
  <si>
    <t>Jamaica sudan</t>
  </si>
  <si>
    <t>Jengibre entero seco</t>
  </si>
  <si>
    <t>Laurel</t>
  </si>
  <si>
    <t>Linaza</t>
  </si>
  <si>
    <t>Maiz para pozole</t>
  </si>
  <si>
    <t>Maicena</t>
  </si>
  <si>
    <t>Mejorana</t>
  </si>
  <si>
    <t>Nuez Granillo</t>
  </si>
  <si>
    <t>Nuez en mitad</t>
  </si>
  <si>
    <t>Oregano</t>
  </si>
  <si>
    <t>Pan molido</t>
  </si>
  <si>
    <t>Pasa chica</t>
  </si>
  <si>
    <t>Pasa grande</t>
  </si>
  <si>
    <t xml:space="preserve">Piloncillo  </t>
  </si>
  <si>
    <t>Pimienta negra entera</t>
  </si>
  <si>
    <t>Pimienta negra molida</t>
  </si>
  <si>
    <t>Royal</t>
  </si>
  <si>
    <t>Sal de ajo</t>
  </si>
  <si>
    <t>Salvado de trigo</t>
  </si>
  <si>
    <t xml:space="preserve">Semilla de calabaza pelada </t>
  </si>
  <si>
    <t xml:space="preserve">Semilla de cilantro </t>
  </si>
  <si>
    <t>Semilla de girasol pelada</t>
  </si>
  <si>
    <t>Soya</t>
  </si>
  <si>
    <t>Tamarindo</t>
  </si>
  <si>
    <t>Tapioca</t>
  </si>
  <si>
    <t>Tomillo</t>
  </si>
  <si>
    <t>Paquete</t>
  </si>
  <si>
    <t>Camarón seco chico</t>
  </si>
  <si>
    <t>cereal chococrispis</t>
  </si>
  <si>
    <t>cereal zucaritas</t>
  </si>
  <si>
    <t>cereal froot loops</t>
  </si>
  <si>
    <t>cereal natural</t>
  </si>
  <si>
    <t>Canela molida PURA</t>
  </si>
  <si>
    <t>Canela molida SINTETICA</t>
  </si>
  <si>
    <t>Frijol TEXANO</t>
  </si>
  <si>
    <t>Frijol Flor de junio</t>
  </si>
  <si>
    <t>Cocoa  comercial *</t>
  </si>
  <si>
    <t>Ácido cítrico **</t>
  </si>
  <si>
    <t>Capacillo No. 73 blanco **</t>
  </si>
  <si>
    <t>Chispas de chocolate BLANCO*</t>
  </si>
  <si>
    <t>Chispas de chocolate OSCURO*</t>
  </si>
  <si>
    <t>Cocoa negra *</t>
  </si>
  <si>
    <t>Colorante en polvo **</t>
  </si>
  <si>
    <t>Gelatina varios sabores *</t>
  </si>
  <si>
    <t>Tableta chocolate semiamargo*</t>
  </si>
  <si>
    <t xml:space="preserve">Sal entera </t>
  </si>
  <si>
    <t xml:space="preserve">Sal molida </t>
  </si>
  <si>
    <t>Maicena de sabor</t>
  </si>
  <si>
    <t>NOMBRE DEL PRODUCTO</t>
  </si>
  <si>
    <t>PRESENTACION</t>
  </si>
  <si>
    <t>PRECIO UNITARIO</t>
  </si>
  <si>
    <t xml:space="preserve">Azucar Glass </t>
  </si>
  <si>
    <t xml:space="preserve">Cebada para agua </t>
  </si>
  <si>
    <t xml:space="preserve">Bidón </t>
  </si>
  <si>
    <t>Granel</t>
  </si>
  <si>
    <t>Bolsa de 1 kilo</t>
  </si>
  <si>
    <t>Bulto de 5 kilos</t>
  </si>
  <si>
    <t>Bolsa de 500gm</t>
  </si>
  <si>
    <t>Bote con 100gm</t>
  </si>
  <si>
    <t>Bote con 1 litro</t>
  </si>
  <si>
    <t>Bolsa 875 gm</t>
  </si>
  <si>
    <t xml:space="preserve">Flan en polvo </t>
  </si>
  <si>
    <t>Bulto de 44 kg</t>
  </si>
  <si>
    <t>Bulto de 10 kg</t>
  </si>
  <si>
    <t>Caja por kilos</t>
  </si>
  <si>
    <t>Paquete de 500gm</t>
  </si>
  <si>
    <t>Paquete de 47g</t>
  </si>
  <si>
    <t>Bote de 1 kilo</t>
  </si>
  <si>
    <t>Paquete de 440gm</t>
  </si>
  <si>
    <t xml:space="preserve">Mejorante para pan dulce </t>
  </si>
  <si>
    <t xml:space="preserve">Mejorante para pan salado </t>
  </si>
  <si>
    <t>Paquete con 50 piezas</t>
  </si>
  <si>
    <t>Bote con 3 kilos</t>
  </si>
  <si>
    <t>Lenteja chica</t>
  </si>
  <si>
    <t>Levadura saft isntant roja</t>
  </si>
  <si>
    <t>Manteca Vegetal</t>
  </si>
  <si>
    <t>Cacahuate Japones</t>
  </si>
  <si>
    <t xml:space="preserve">Ajinomoto </t>
  </si>
  <si>
    <t>Granola</t>
  </si>
  <si>
    <t xml:space="preserve">Amaranto miel  </t>
  </si>
  <si>
    <t>Coco dorado</t>
  </si>
  <si>
    <t>Coco rallado</t>
  </si>
  <si>
    <t>Esencia de sabor **</t>
  </si>
  <si>
    <t>Esencia de mantequilla **</t>
  </si>
  <si>
    <t>Harina trigo  44kg</t>
  </si>
  <si>
    <t>Harina trigo 10kg</t>
  </si>
  <si>
    <t>Aceite bidón 20 L</t>
  </si>
  <si>
    <t>Granillo de chocolate blanco</t>
  </si>
  <si>
    <t>Molde jericalla c/50</t>
  </si>
  <si>
    <t>Paprika</t>
  </si>
  <si>
    <t>Pipián colorado c/3kg</t>
  </si>
  <si>
    <t xml:space="preserve">Polvo de camarón </t>
  </si>
  <si>
    <t>Unidad que solicita</t>
  </si>
  <si>
    <t>Fecha de pedido</t>
  </si>
  <si>
    <t>Solicitante</t>
  </si>
  <si>
    <t>Fecha de entrega</t>
  </si>
  <si>
    <t>Cantidad</t>
  </si>
  <si>
    <t>Total</t>
  </si>
  <si>
    <t>EX</t>
  </si>
  <si>
    <t>M</t>
  </si>
  <si>
    <t>A</t>
  </si>
  <si>
    <t>R</t>
  </si>
  <si>
    <t>G</t>
  </si>
  <si>
    <t>OBSERVACIONES</t>
  </si>
  <si>
    <t>TOTAL</t>
  </si>
  <si>
    <t xml:space="preserve">                     VERONICA CABRERA VILLAGRANA  </t>
  </si>
  <si>
    <t xml:space="preserve">                                      Paseo de los Chopos No 1294</t>
  </si>
  <si>
    <t xml:space="preserve">                           Tabachines</t>
  </si>
  <si>
    <t xml:space="preserve">                           Zapopan, Jalisco</t>
  </si>
  <si>
    <t xml:space="preserve">                           CP 45188     RFC: CAVV780419 CM1</t>
  </si>
  <si>
    <t>Caja con 72 piezas</t>
  </si>
  <si>
    <t>Dona congelada *</t>
  </si>
  <si>
    <t>Bote 5kg</t>
  </si>
  <si>
    <t>Glace natural 5kg *</t>
  </si>
  <si>
    <t>Quinoa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</si>
</sst>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ova"/>
      <family val="2"/>
    </font>
    <font>
      <b/>
      <sz val="16"/>
      <name val="Arial Nova"/>
      <family val="2"/>
    </font>
    <font>
      <sz val="12"/>
      <color theme="0"/>
      <name val="Arial Nova"/>
      <family val="2"/>
    </font>
    <font>
      <sz val="12"/>
      <color theme="1"/>
      <name val="Arial Nova"/>
      <family val="2"/>
    </font>
    <font>
      <sz val="12"/>
      <name val="Arial Nova"/>
      <family val="2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Arial Nova"/>
      <family val="2"/>
    </font>
    <font>
      <b/>
      <sz val="12"/>
      <color theme="0"/>
      <name val="Arial Nova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4"/>
      <name val="Arial Nova"/>
      <family val="2"/>
    </font>
    <font>
      <b/>
      <sz val="9"/>
      <name val="Arial Nova"/>
      <family val="2"/>
    </font>
    <font>
      <sz val="10"/>
      <name val="Arial Nova"/>
      <family val="2"/>
    </font>
    <font>
      <sz val="11"/>
      <name val="Arial Nov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98F0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shrinkToFit="1"/>
    </xf>
  </cellStyleXfs>
  <cellXfs count="67">
    <xf numFmtId="0" fontId="0" fillId="0" borderId="0" xfId="0"/>
    <xf numFmtId="0" fontId="2" fillId="0" borderId="0" xfId="1" applyFont="1" applyAlignment="1">
      <alignment vertical="center"/>
    </xf>
    <xf numFmtId="0" fontId="4" fillId="0" borderId="0" xfId="0" applyFont="1" applyAlignment="1">
      <alignment shrinkToFit="1"/>
    </xf>
    <xf numFmtId="0" fontId="5" fillId="0" borderId="0" xfId="0" applyFont="1"/>
    <xf numFmtId="0" fontId="6" fillId="0" borderId="0" xfId="0" applyFont="1" applyAlignment="1">
      <alignment shrinkToFit="1"/>
    </xf>
    <xf numFmtId="0" fontId="6" fillId="0" borderId="0" xfId="0" applyFont="1"/>
    <xf numFmtId="0" fontId="6" fillId="2" borderId="1" xfId="0" applyFont="1" applyFill="1" applyBorder="1" applyAlignment="1">
      <alignment shrinkToFit="1"/>
    </xf>
    <xf numFmtId="0" fontId="6" fillId="2" borderId="0" xfId="0" applyFont="1" applyFill="1"/>
    <xf numFmtId="0" fontId="6" fillId="0" borderId="7" xfId="1" applyFont="1" applyBorder="1" applyAlignment="1">
      <alignment horizontal="center" vertical="center"/>
    </xf>
    <xf numFmtId="44" fontId="6" fillId="0" borderId="7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4" fontId="6" fillId="4" borderId="7" xfId="1" applyNumberFormat="1" applyFont="1" applyFill="1" applyBorder="1" applyAlignment="1">
      <alignment horizontal="center" vertical="center"/>
    </xf>
    <xf numFmtId="44" fontId="6" fillId="0" borderId="7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10" fillId="5" borderId="5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5" fillId="0" borderId="7" xfId="1" applyFont="1" applyBorder="1" applyAlignment="1">
      <alignment horizontal="center" vertical="center" wrapText="1"/>
    </xf>
    <xf numFmtId="0" fontId="5" fillId="0" borderId="9" xfId="0" applyFont="1" applyBorder="1"/>
    <xf numFmtId="0" fontId="6" fillId="0" borderId="0" xfId="1" applyFont="1" applyBorder="1" applyAlignment="1">
      <alignment horizontal="center" vertical="center"/>
    </xf>
    <xf numFmtId="44" fontId="6" fillId="4" borderId="0" xfId="1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shrinkToFit="1"/>
    </xf>
    <xf numFmtId="0" fontId="10" fillId="3" borderId="7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 wrapText="1"/>
    </xf>
    <xf numFmtId="4" fontId="2" fillId="3" borderId="7" xfId="0" applyNumberFormat="1" applyFont="1" applyFill="1" applyBorder="1" applyAlignment="1" applyProtection="1">
      <alignment shrinkToFit="1"/>
      <protection locked="0"/>
    </xf>
    <xf numFmtId="4" fontId="2" fillId="0" borderId="7" xfId="0" applyNumberFormat="1" applyFont="1" applyBorder="1" applyAlignment="1" applyProtection="1">
      <alignment shrinkToFit="1"/>
      <protection locked="0"/>
    </xf>
    <xf numFmtId="0" fontId="2" fillId="10" borderId="7" xfId="0" applyNumberFormat="1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0" fillId="5" borderId="5" xfId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shrinkToFit="1"/>
    </xf>
    <xf numFmtId="0" fontId="10" fillId="3" borderId="8" xfId="1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shrinkToFit="1"/>
    </xf>
    <xf numFmtId="44" fontId="6" fillId="0" borderId="8" xfId="1" applyNumberFormat="1" applyFont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 shrinkToFit="1"/>
    </xf>
    <xf numFmtId="0" fontId="12" fillId="7" borderId="13" xfId="0" applyFont="1" applyFill="1" applyBorder="1" applyAlignment="1">
      <alignment horizontal="center" vertical="center" shrinkToFit="1"/>
    </xf>
    <xf numFmtId="0" fontId="11" fillId="8" borderId="13" xfId="0" applyFont="1" applyFill="1" applyBorder="1" applyAlignment="1">
      <alignment horizontal="center" vertical="center" shrinkToFit="1"/>
    </xf>
    <xf numFmtId="0" fontId="11" fillId="10" borderId="13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shrinkToFit="1"/>
    </xf>
    <xf numFmtId="44" fontId="6" fillId="4" borderId="14" xfId="1" applyNumberFormat="1" applyFont="1" applyFill="1" applyBorder="1" applyAlignment="1">
      <alignment horizontal="center" vertical="center"/>
    </xf>
    <xf numFmtId="44" fontId="6" fillId="4" borderId="16" xfId="1" applyNumberFormat="1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 shrinkToFit="1"/>
    </xf>
    <xf numFmtId="4" fontId="2" fillId="3" borderId="16" xfId="0" applyNumberFormat="1" applyFont="1" applyFill="1" applyBorder="1" applyAlignment="1" applyProtection="1">
      <alignment shrinkToFit="1"/>
      <protection locked="0"/>
    </xf>
    <xf numFmtId="0" fontId="6" fillId="0" borderId="16" xfId="1" applyFont="1" applyBorder="1" applyAlignment="1">
      <alignment horizontal="center" vertical="center"/>
    </xf>
    <xf numFmtId="44" fontId="6" fillId="0" borderId="17" xfId="1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shrinkToFit="1"/>
    </xf>
    <xf numFmtId="4" fontId="2" fillId="3" borderId="19" xfId="0" applyNumberFormat="1" applyFont="1" applyFill="1" applyBorder="1" applyAlignment="1" applyProtection="1">
      <alignment horizontal="left" shrinkToFit="1"/>
      <protection locked="0"/>
    </xf>
    <xf numFmtId="0" fontId="6" fillId="0" borderId="19" xfId="1" applyFont="1" applyBorder="1" applyAlignment="1">
      <alignment horizontal="center" vertical="center"/>
    </xf>
    <xf numFmtId="44" fontId="6" fillId="4" borderId="19" xfId="1" applyNumberFormat="1" applyFont="1" applyFill="1" applyBorder="1" applyAlignment="1">
      <alignment horizontal="center" vertical="center"/>
    </xf>
    <xf numFmtId="44" fontId="6" fillId="4" borderId="11" xfId="1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shrinkToFit="1"/>
    </xf>
    <xf numFmtId="0" fontId="6" fillId="0" borderId="21" xfId="1" applyFont="1" applyBorder="1" applyAlignment="1">
      <alignment horizontal="center" vertical="center"/>
    </xf>
    <xf numFmtId="44" fontId="6" fillId="4" borderId="3" xfId="1" applyNumberFormat="1" applyFont="1" applyFill="1" applyBorder="1" applyAlignment="1">
      <alignment horizontal="center" vertical="center"/>
    </xf>
    <xf numFmtId="44" fontId="6" fillId="4" borderId="22" xfId="1" applyNumberFormat="1" applyFon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2" fillId="3" borderId="7" xfId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4" fontId="2" fillId="10" borderId="15" xfId="0" applyNumberFormat="1" applyFont="1" applyFill="1" applyBorder="1" applyAlignment="1" applyProtection="1">
      <alignment horizontal="center" shrinkToFit="1"/>
      <protection locked="0"/>
    </xf>
    <xf numFmtId="44" fontId="5" fillId="0" borderId="0" xfId="0" applyNumberFormat="1" applyFont="1"/>
    <xf numFmtId="0" fontId="8" fillId="0" borderId="2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53A5EE75-62CE-4444-A756-087DD1303873}"/>
  </cellStyles>
  <dxfs count="0"/>
  <tableStyles count="0" defaultTableStyle="TableStyleMedium2" defaultPivotStyle="PivotStyleLight16"/>
  <colors>
    <mruColors>
      <color rgb="FF798F0B"/>
      <color rgb="FF669900"/>
      <color rgb="FFC4B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120091</xdr:colOff>
      <xdr:row>0</xdr:row>
      <xdr:rowOff>0</xdr:rowOff>
    </xdr:from>
    <xdr:to>
      <xdr:col>2</xdr:col>
      <xdr:colOff>778565</xdr:colOff>
      <xdr:row>5</xdr:row>
      <xdr:rowOff>16073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4CF2E5DA-AF9A-4C54-9997-7569AE27F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0091" y="0"/>
          <a:ext cx="1229974" cy="1142508"/>
        </a:xfrm>
        <a:prstGeom prst="rect">
          <a:avLst/>
        </a:prstGeom>
      </xdr:spPr>
    </xdr:pic>
    <xdr:clientData/>
  </xdr:twoCellAnchor>
  <xdr:oneCellAnchor>
    <xdr:from>
      <xdr:col>2</xdr:col>
      <xdr:colOff>1447800</xdr:colOff>
      <xdr:row>138</xdr:row>
      <xdr:rowOff>0</xdr:rowOff>
    </xdr:from>
    <xdr:ext cx="104775" cy="203200"/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D30CE582-229E-4EE4-8BA0-D07AC5E3DB51}"/>
            </a:ext>
          </a:extLst>
        </xdr:cNvPr>
        <xdr:cNvSpPr txBox="1">
          <a:spLocks noChangeArrowheads="1"/>
        </xdr:cNvSpPr>
      </xdr:nvSpPr>
      <xdr:spPr bwMode="auto">
        <a:xfrm>
          <a:off x="2124075" y="33804225"/>
          <a:ext cx="104775" cy="203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oneCellAnchor>
  <xdr:oneCellAnchor>
    <xdr:from>
      <xdr:col>2</xdr:col>
      <xdr:colOff>1447800</xdr:colOff>
      <xdr:row>138</xdr:row>
      <xdr:rowOff>0</xdr:rowOff>
    </xdr:from>
    <xdr:ext cx="104775" cy="203200"/>
    <xdr:sp macro="" textlink="">
      <xdr:nvSpPr>
        <xdr:cNvPr id="3" name="Text Box 12">
          <a:extLst>
            <a:ext uri="{FF2B5EF4-FFF2-40B4-BE49-F238E27FC236}">
              <a16:creationId xmlns:a16="http://schemas.microsoft.com/office/drawing/2014/main" id="{CD79B13E-6F1A-4F90-8573-D502195EC714}"/>
            </a:ext>
          </a:extLst>
        </xdr:cNvPr>
        <xdr:cNvSpPr txBox="1">
          <a:spLocks noChangeArrowheads="1"/>
        </xdr:cNvSpPr>
      </xdr:nvSpPr>
      <xdr:spPr bwMode="auto">
        <a:xfrm>
          <a:off x="2124075" y="33804225"/>
          <a:ext cx="104775" cy="203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oneCellAnchor>
  <xdr:oneCellAnchor>
    <xdr:from>
      <xdr:col>2</xdr:col>
      <xdr:colOff>1447800</xdr:colOff>
      <xdr:row>138</xdr:row>
      <xdr:rowOff>0</xdr:rowOff>
    </xdr:from>
    <xdr:ext cx="104775" cy="203200"/>
    <xdr:sp macro="" textlink="">
      <xdr:nvSpPr>
        <xdr:cNvPr id="4" name="Text Box 12">
          <a:extLst>
            <a:ext uri="{FF2B5EF4-FFF2-40B4-BE49-F238E27FC236}">
              <a16:creationId xmlns:a16="http://schemas.microsoft.com/office/drawing/2014/main" id="{25E58EA1-D5EF-4434-BB35-F81333310675}"/>
            </a:ext>
          </a:extLst>
        </xdr:cNvPr>
        <xdr:cNvSpPr txBox="1">
          <a:spLocks noChangeArrowheads="1"/>
        </xdr:cNvSpPr>
      </xdr:nvSpPr>
      <xdr:spPr bwMode="auto">
        <a:xfrm>
          <a:off x="2124075" y="33804225"/>
          <a:ext cx="104775" cy="20320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975C-899C-494F-8F0C-66C8DA8B6163}">
  <sheetPr>
    <pageSetUpPr fitToPage="1"/>
  </sheetPr>
  <dimension ref="B1:I142"/>
  <sheetViews>
    <sheetView showGridLines="0" tabSelected="1" zoomScale="85" zoomScaleNormal="85" workbookViewId="0">
      <selection activeCell="F14" sqref="F14"/>
    </sheetView>
  </sheetViews>
  <sheetFormatPr baseColWidth="10" defaultRowHeight="15.75" x14ac:dyDescent="0.25"/>
  <cols>
    <col min="1" max="1" width="3.7109375" style="3" customWidth="1"/>
    <col min="2" max="2" width="4.85546875" style="3" customWidth="1"/>
    <col min="3" max="3" width="35.28515625" style="3" customWidth="1"/>
    <col min="4" max="4" width="23.28515625" style="3" customWidth="1"/>
    <col min="5" max="5" width="12" style="3" customWidth="1"/>
    <col min="6" max="6" width="13.140625" style="3" customWidth="1"/>
    <col min="7" max="7" width="15.85546875" style="3" customWidth="1"/>
    <col min="8" max="16384" width="11.42578125" style="3"/>
  </cols>
  <sheetData>
    <row r="1" spans="2:9" ht="19.5" customHeight="1" x14ac:dyDescent="0.25">
      <c r="B1" s="2"/>
      <c r="C1" s="59" t="s">
        <v>158</v>
      </c>
      <c r="D1" s="17"/>
      <c r="E1" s="13"/>
      <c r="G1" s="1"/>
    </row>
    <row r="2" spans="2:9" s="5" customFormat="1" ht="15.75" customHeight="1" x14ac:dyDescent="0.25">
      <c r="B2" s="4"/>
      <c r="C2" s="19" t="s">
        <v>159</v>
      </c>
      <c r="D2" s="18"/>
      <c r="E2" s="15" t="s">
        <v>145</v>
      </c>
      <c r="F2" s="65"/>
      <c r="G2" s="65"/>
    </row>
    <row r="3" spans="2:9" s="4" customFormat="1" ht="18" customHeight="1" x14ac:dyDescent="0.25">
      <c r="C3" s="14" t="s">
        <v>160</v>
      </c>
      <c r="E3" s="15" t="s">
        <v>146</v>
      </c>
      <c r="F3" s="66"/>
      <c r="G3" s="64"/>
    </row>
    <row r="4" spans="2:9" s="4" customFormat="1" ht="17.25" customHeight="1" x14ac:dyDescent="0.25">
      <c r="C4" s="14" t="s">
        <v>161</v>
      </c>
      <c r="E4" s="15" t="s">
        <v>147</v>
      </c>
      <c r="F4" s="64"/>
      <c r="G4" s="64"/>
    </row>
    <row r="5" spans="2:9" ht="18" customHeight="1" x14ac:dyDescent="0.25">
      <c r="B5" s="4"/>
      <c r="C5" s="20" t="s">
        <v>162</v>
      </c>
      <c r="E5" s="15" t="s">
        <v>148</v>
      </c>
      <c r="F5" s="64"/>
      <c r="G5" s="64"/>
    </row>
    <row r="6" spans="2:9" ht="5.0999999999999996" customHeight="1" thickBot="1" x14ac:dyDescent="0.3">
      <c r="B6" s="6"/>
      <c r="C6" s="7"/>
    </row>
    <row r="7" spans="2:9" ht="31.5" x14ac:dyDescent="0.25">
      <c r="B7" s="31"/>
      <c r="C7" s="32" t="s">
        <v>101</v>
      </c>
      <c r="D7" s="33" t="s">
        <v>102</v>
      </c>
      <c r="E7" s="33" t="s">
        <v>149</v>
      </c>
      <c r="F7" s="16" t="s">
        <v>103</v>
      </c>
      <c r="G7" s="34" t="s">
        <v>150</v>
      </c>
    </row>
    <row r="8" spans="2:9" ht="10.5" customHeight="1" x14ac:dyDescent="0.25">
      <c r="B8" s="35"/>
      <c r="C8" s="25"/>
      <c r="D8" s="26"/>
      <c r="E8" s="60"/>
      <c r="F8" s="27"/>
      <c r="G8" s="36"/>
    </row>
    <row r="9" spans="2:9" x14ac:dyDescent="0.25">
      <c r="B9" s="37" t="s">
        <v>151</v>
      </c>
      <c r="C9" s="28" t="s">
        <v>139</v>
      </c>
      <c r="D9" s="8" t="s">
        <v>106</v>
      </c>
      <c r="E9" s="8"/>
      <c r="F9" s="9">
        <v>815</v>
      </c>
      <c r="G9" s="38">
        <f>E9*F9</f>
        <v>0</v>
      </c>
    </row>
    <row r="10" spans="2:9" x14ac:dyDescent="0.25">
      <c r="B10" s="39" t="s">
        <v>154</v>
      </c>
      <c r="C10" s="28" t="s">
        <v>0</v>
      </c>
      <c r="D10" s="8" t="s">
        <v>107</v>
      </c>
      <c r="E10" s="8"/>
      <c r="F10" s="9">
        <v>67</v>
      </c>
      <c r="G10" s="38">
        <f t="shared" ref="G10:G74" si="0">E10*F10</f>
        <v>0</v>
      </c>
    </row>
    <row r="11" spans="2:9" x14ac:dyDescent="0.25">
      <c r="B11" s="40" t="s">
        <v>152</v>
      </c>
      <c r="C11" s="28" t="s">
        <v>90</v>
      </c>
      <c r="D11" s="8" t="s">
        <v>107</v>
      </c>
      <c r="E11" s="8"/>
      <c r="F11" s="9">
        <v>75</v>
      </c>
      <c r="G11" s="38">
        <f t="shared" si="0"/>
        <v>0</v>
      </c>
    </row>
    <row r="12" spans="2:9" x14ac:dyDescent="0.25">
      <c r="B12" s="39" t="s">
        <v>154</v>
      </c>
      <c r="C12" s="28" t="s">
        <v>130</v>
      </c>
      <c r="D12" s="8" t="s">
        <v>108</v>
      </c>
      <c r="E12" s="8"/>
      <c r="F12" s="9">
        <v>93</v>
      </c>
      <c r="G12" s="38">
        <f t="shared" si="0"/>
        <v>0</v>
      </c>
    </row>
    <row r="13" spans="2:9" x14ac:dyDescent="0.25">
      <c r="B13" s="39" t="s">
        <v>154</v>
      </c>
      <c r="C13" s="28" t="s">
        <v>2</v>
      </c>
      <c r="D13" s="8" t="s">
        <v>107</v>
      </c>
      <c r="E13" s="8"/>
      <c r="F13" s="9">
        <v>100</v>
      </c>
      <c r="G13" s="38">
        <f t="shared" si="0"/>
        <v>0</v>
      </c>
      <c r="I13" s="10"/>
    </row>
    <row r="14" spans="2:9" x14ac:dyDescent="0.25">
      <c r="B14" s="39" t="s">
        <v>154</v>
      </c>
      <c r="C14" s="28" t="s">
        <v>1</v>
      </c>
      <c r="D14" s="8" t="s">
        <v>107</v>
      </c>
      <c r="E14" s="8"/>
      <c r="F14" s="9">
        <v>80</v>
      </c>
      <c r="G14" s="38">
        <f t="shared" si="0"/>
        <v>0</v>
      </c>
      <c r="I14" s="10"/>
    </row>
    <row r="15" spans="2:9" x14ac:dyDescent="0.25">
      <c r="B15" s="39" t="s">
        <v>154</v>
      </c>
      <c r="C15" s="28" t="s">
        <v>3</v>
      </c>
      <c r="D15" s="8" t="s">
        <v>107</v>
      </c>
      <c r="E15" s="8"/>
      <c r="F15" s="9">
        <v>50</v>
      </c>
      <c r="G15" s="38">
        <f t="shared" si="0"/>
        <v>0</v>
      </c>
      <c r="I15" s="10"/>
    </row>
    <row r="16" spans="2:9" x14ac:dyDescent="0.25">
      <c r="B16" s="39" t="s">
        <v>154</v>
      </c>
      <c r="C16" s="28" t="s">
        <v>4</v>
      </c>
      <c r="D16" s="8" t="s">
        <v>107</v>
      </c>
      <c r="E16" s="8"/>
      <c r="F16" s="9">
        <v>63</v>
      </c>
      <c r="G16" s="38">
        <f t="shared" si="0"/>
        <v>0</v>
      </c>
      <c r="I16" s="10"/>
    </row>
    <row r="17" spans="2:9" x14ac:dyDescent="0.25">
      <c r="B17" s="40" t="s">
        <v>152</v>
      </c>
      <c r="C17" s="28" t="s">
        <v>5</v>
      </c>
      <c r="D17" s="8" t="s">
        <v>107</v>
      </c>
      <c r="E17" s="8"/>
      <c r="F17" s="9">
        <v>81</v>
      </c>
      <c r="G17" s="38">
        <f t="shared" si="0"/>
        <v>0</v>
      </c>
    </row>
    <row r="18" spans="2:9" x14ac:dyDescent="0.25">
      <c r="B18" s="39" t="s">
        <v>154</v>
      </c>
      <c r="C18" s="28" t="s">
        <v>6</v>
      </c>
      <c r="D18" s="8" t="s">
        <v>107</v>
      </c>
      <c r="E18" s="8"/>
      <c r="F18" s="9">
        <v>195</v>
      </c>
      <c r="G18" s="38">
        <f t="shared" si="0"/>
        <v>0</v>
      </c>
      <c r="I18" s="10"/>
    </row>
    <row r="19" spans="2:9" x14ac:dyDescent="0.25">
      <c r="B19" s="39" t="s">
        <v>154</v>
      </c>
      <c r="C19" s="28" t="s">
        <v>7</v>
      </c>
      <c r="D19" s="8" t="s">
        <v>107</v>
      </c>
      <c r="E19" s="8"/>
      <c r="F19" s="9">
        <v>228</v>
      </c>
      <c r="G19" s="38">
        <f t="shared" si="0"/>
        <v>0</v>
      </c>
      <c r="I19" s="10"/>
    </row>
    <row r="20" spans="2:9" x14ac:dyDescent="0.25">
      <c r="B20" s="39" t="s">
        <v>154</v>
      </c>
      <c r="C20" s="28" t="s">
        <v>8</v>
      </c>
      <c r="D20" s="8" t="s">
        <v>107</v>
      </c>
      <c r="E20" s="8"/>
      <c r="F20" s="9">
        <v>45</v>
      </c>
      <c r="G20" s="38">
        <f t="shared" si="0"/>
        <v>0</v>
      </c>
      <c r="I20" s="10"/>
    </row>
    <row r="21" spans="2:9" x14ac:dyDescent="0.25">
      <c r="B21" s="39" t="s">
        <v>154</v>
      </c>
      <c r="C21" s="28" t="s">
        <v>132</v>
      </c>
      <c r="D21" s="8" t="s">
        <v>108</v>
      </c>
      <c r="E21" s="8"/>
      <c r="F21" s="9">
        <v>60</v>
      </c>
      <c r="G21" s="38">
        <f t="shared" si="0"/>
        <v>0</v>
      </c>
      <c r="I21" s="10"/>
    </row>
    <row r="22" spans="2:9" x14ac:dyDescent="0.25">
      <c r="B22" s="39" t="s">
        <v>154</v>
      </c>
      <c r="C22" s="28" t="s">
        <v>9</v>
      </c>
      <c r="D22" s="8" t="s">
        <v>107</v>
      </c>
      <c r="E22" s="8"/>
      <c r="F22" s="9">
        <v>54.5</v>
      </c>
      <c r="G22" s="38">
        <f t="shared" si="0"/>
        <v>0</v>
      </c>
      <c r="I22" s="10"/>
    </row>
    <row r="23" spans="2:9" x14ac:dyDescent="0.25">
      <c r="B23" s="40" t="s">
        <v>152</v>
      </c>
      <c r="C23" s="28" t="s">
        <v>10</v>
      </c>
      <c r="D23" s="8" t="s">
        <v>107</v>
      </c>
      <c r="E23" s="8"/>
      <c r="F23" s="9">
        <v>600</v>
      </c>
      <c r="G23" s="38">
        <f t="shared" si="0"/>
        <v>0</v>
      </c>
    </row>
    <row r="24" spans="2:9" x14ac:dyDescent="0.25">
      <c r="B24" s="39" t="s">
        <v>154</v>
      </c>
      <c r="C24" s="28" t="s">
        <v>11</v>
      </c>
      <c r="D24" s="8" t="s">
        <v>108</v>
      </c>
      <c r="E24" s="8"/>
      <c r="F24" s="9">
        <v>124.5</v>
      </c>
      <c r="G24" s="38">
        <f t="shared" si="0"/>
        <v>0</v>
      </c>
      <c r="I24" s="10"/>
    </row>
    <row r="25" spans="2:9" x14ac:dyDescent="0.25">
      <c r="B25" s="39" t="s">
        <v>154</v>
      </c>
      <c r="C25" s="28" t="s">
        <v>12</v>
      </c>
      <c r="D25" s="8" t="s">
        <v>107</v>
      </c>
      <c r="E25" s="8"/>
      <c r="F25" s="9">
        <v>19</v>
      </c>
      <c r="G25" s="38">
        <f t="shared" si="0"/>
        <v>0</v>
      </c>
      <c r="I25" s="10"/>
    </row>
    <row r="26" spans="2:9" x14ac:dyDescent="0.25">
      <c r="B26" s="39" t="s">
        <v>154</v>
      </c>
      <c r="C26" s="28" t="s">
        <v>13</v>
      </c>
      <c r="D26" s="8" t="s">
        <v>107</v>
      </c>
      <c r="E26" s="8"/>
      <c r="F26" s="9">
        <v>23</v>
      </c>
      <c r="G26" s="38">
        <f t="shared" si="0"/>
        <v>0</v>
      </c>
      <c r="I26" s="10"/>
    </row>
    <row r="27" spans="2:9" ht="15.75" customHeight="1" x14ac:dyDescent="0.25">
      <c r="B27" s="39" t="s">
        <v>154</v>
      </c>
      <c r="C27" s="28" t="s">
        <v>14</v>
      </c>
      <c r="D27" s="21" t="s">
        <v>107</v>
      </c>
      <c r="E27" s="61"/>
      <c r="F27" s="9">
        <v>18.5</v>
      </c>
      <c r="G27" s="38">
        <f t="shared" si="0"/>
        <v>0</v>
      </c>
      <c r="I27" s="10"/>
    </row>
    <row r="28" spans="2:9" x14ac:dyDescent="0.25">
      <c r="B28" s="39" t="s">
        <v>154</v>
      </c>
      <c r="C28" s="28" t="s">
        <v>104</v>
      </c>
      <c r="D28" s="8" t="s">
        <v>109</v>
      </c>
      <c r="E28" s="8"/>
      <c r="F28" s="9">
        <v>148.5</v>
      </c>
      <c r="G28" s="38">
        <f t="shared" si="0"/>
        <v>0</v>
      </c>
      <c r="I28" s="10"/>
    </row>
    <row r="29" spans="2:9" x14ac:dyDescent="0.25">
      <c r="B29" s="39" t="s">
        <v>154</v>
      </c>
      <c r="C29" s="28" t="s">
        <v>129</v>
      </c>
      <c r="D29" s="8" t="s">
        <v>108</v>
      </c>
      <c r="E29" s="8"/>
      <c r="F29" s="9">
        <v>67.5</v>
      </c>
      <c r="G29" s="38">
        <f t="shared" si="0"/>
        <v>0</v>
      </c>
      <c r="I29" s="10"/>
    </row>
    <row r="30" spans="2:9" x14ac:dyDescent="0.25">
      <c r="B30" s="39" t="s">
        <v>154</v>
      </c>
      <c r="C30" s="28" t="s">
        <v>15</v>
      </c>
      <c r="D30" s="8" t="s">
        <v>107</v>
      </c>
      <c r="E30" s="8"/>
      <c r="F30" s="9">
        <v>55</v>
      </c>
      <c r="G30" s="38">
        <f t="shared" si="0"/>
        <v>0</v>
      </c>
      <c r="I30" s="10"/>
    </row>
    <row r="31" spans="2:9" x14ac:dyDescent="0.25">
      <c r="B31" s="39" t="s">
        <v>154</v>
      </c>
      <c r="C31" s="28" t="s">
        <v>80</v>
      </c>
      <c r="D31" s="8" t="s">
        <v>107</v>
      </c>
      <c r="E31" s="8"/>
      <c r="F31" s="11">
        <v>215</v>
      </c>
      <c r="G31" s="38">
        <f t="shared" si="0"/>
        <v>0</v>
      </c>
      <c r="I31" s="10"/>
    </row>
    <row r="32" spans="2:9" x14ac:dyDescent="0.25">
      <c r="B32" s="39" t="s">
        <v>154</v>
      </c>
      <c r="C32" s="28" t="s">
        <v>16</v>
      </c>
      <c r="D32" s="8" t="s">
        <v>107</v>
      </c>
      <c r="E32" s="8"/>
      <c r="F32" s="9">
        <v>538</v>
      </c>
      <c r="G32" s="38">
        <f t="shared" si="0"/>
        <v>0</v>
      </c>
      <c r="I32" s="10"/>
    </row>
    <row r="33" spans="2:9" x14ac:dyDescent="0.25">
      <c r="B33" s="39" t="s">
        <v>154</v>
      </c>
      <c r="C33" s="28" t="s">
        <v>85</v>
      </c>
      <c r="D33" s="8" t="s">
        <v>107</v>
      </c>
      <c r="E33" s="8"/>
      <c r="F33" s="12">
        <v>82</v>
      </c>
      <c r="G33" s="38">
        <f t="shared" si="0"/>
        <v>0</v>
      </c>
      <c r="H33" s="10"/>
    </row>
    <row r="34" spans="2:9" x14ac:dyDescent="0.25">
      <c r="B34" s="39" t="s">
        <v>154</v>
      </c>
      <c r="C34" s="28" t="s">
        <v>86</v>
      </c>
      <c r="D34" s="8" t="s">
        <v>107</v>
      </c>
      <c r="E34" s="8"/>
      <c r="F34" s="12">
        <v>55</v>
      </c>
      <c r="G34" s="38">
        <f t="shared" si="0"/>
        <v>0</v>
      </c>
      <c r="H34" s="10"/>
    </row>
    <row r="35" spans="2:9" x14ac:dyDescent="0.25">
      <c r="B35" s="37" t="s">
        <v>151</v>
      </c>
      <c r="C35" s="28" t="s">
        <v>91</v>
      </c>
      <c r="D35" s="8" t="s">
        <v>79</v>
      </c>
      <c r="E35" s="8"/>
      <c r="F35" s="11">
        <v>70</v>
      </c>
      <c r="G35" s="38">
        <f t="shared" si="0"/>
        <v>0</v>
      </c>
    </row>
    <row r="36" spans="2:9" x14ac:dyDescent="0.25">
      <c r="B36" s="39" t="s">
        <v>154</v>
      </c>
      <c r="C36" s="28" t="s">
        <v>17</v>
      </c>
      <c r="D36" s="8" t="s">
        <v>107</v>
      </c>
      <c r="E36" s="8"/>
      <c r="F36" s="9">
        <v>22</v>
      </c>
      <c r="G36" s="38">
        <f t="shared" si="0"/>
        <v>0</v>
      </c>
      <c r="I36" s="10"/>
    </row>
    <row r="37" spans="2:9" x14ac:dyDescent="0.25">
      <c r="B37" s="40" t="s">
        <v>152</v>
      </c>
      <c r="C37" s="28" t="s">
        <v>105</v>
      </c>
      <c r="D37" s="8" t="s">
        <v>110</v>
      </c>
      <c r="E37" s="8"/>
      <c r="F37" s="9">
        <v>25</v>
      </c>
      <c r="G37" s="38">
        <f t="shared" si="0"/>
        <v>0</v>
      </c>
      <c r="I37" s="10"/>
    </row>
    <row r="38" spans="2:9" x14ac:dyDescent="0.25">
      <c r="B38" s="37" t="s">
        <v>151</v>
      </c>
      <c r="C38" s="28" t="s">
        <v>81</v>
      </c>
      <c r="D38" s="8" t="s">
        <v>107</v>
      </c>
      <c r="E38" s="8"/>
      <c r="F38" s="11">
        <v>70</v>
      </c>
      <c r="G38" s="38">
        <f t="shared" si="0"/>
        <v>0</v>
      </c>
      <c r="I38" s="10"/>
    </row>
    <row r="39" spans="2:9" x14ac:dyDescent="0.25">
      <c r="B39" s="37" t="s">
        <v>151</v>
      </c>
      <c r="C39" s="28" t="s">
        <v>83</v>
      </c>
      <c r="D39" s="8" t="s">
        <v>107</v>
      </c>
      <c r="E39" s="8"/>
      <c r="F39" s="11">
        <v>70</v>
      </c>
      <c r="G39" s="38">
        <f t="shared" si="0"/>
        <v>0</v>
      </c>
      <c r="I39" s="10"/>
    </row>
    <row r="40" spans="2:9" x14ac:dyDescent="0.25">
      <c r="B40" s="37" t="s">
        <v>151</v>
      </c>
      <c r="C40" s="28" t="s">
        <v>84</v>
      </c>
      <c r="D40" s="8" t="s">
        <v>107</v>
      </c>
      <c r="E40" s="8"/>
      <c r="F40" s="11">
        <v>70</v>
      </c>
      <c r="G40" s="38">
        <f t="shared" si="0"/>
        <v>0</v>
      </c>
      <c r="I40" s="10"/>
    </row>
    <row r="41" spans="2:9" x14ac:dyDescent="0.25">
      <c r="B41" s="37" t="s">
        <v>151</v>
      </c>
      <c r="C41" s="28" t="s">
        <v>82</v>
      </c>
      <c r="D41" s="8" t="s">
        <v>107</v>
      </c>
      <c r="E41" s="8"/>
      <c r="F41" s="11">
        <v>70</v>
      </c>
      <c r="G41" s="38">
        <f t="shared" si="0"/>
        <v>0</v>
      </c>
      <c r="I41" s="10"/>
    </row>
    <row r="42" spans="2:9" x14ac:dyDescent="0.25">
      <c r="B42" s="39" t="s">
        <v>154</v>
      </c>
      <c r="C42" s="28" t="s">
        <v>18</v>
      </c>
      <c r="D42" s="8" t="s">
        <v>107</v>
      </c>
      <c r="E42" s="8"/>
      <c r="F42" s="9">
        <v>82</v>
      </c>
      <c r="G42" s="38">
        <f t="shared" si="0"/>
        <v>0</v>
      </c>
      <c r="I42" s="10"/>
    </row>
    <row r="43" spans="2:9" x14ac:dyDescent="0.25">
      <c r="B43" s="39" t="s">
        <v>154</v>
      </c>
      <c r="C43" s="28" t="s">
        <v>19</v>
      </c>
      <c r="D43" s="8" t="s">
        <v>107</v>
      </c>
      <c r="E43" s="8"/>
      <c r="F43" s="9">
        <v>110</v>
      </c>
      <c r="G43" s="38">
        <f t="shared" si="0"/>
        <v>0</v>
      </c>
      <c r="I43" s="10"/>
    </row>
    <row r="44" spans="2:9" x14ac:dyDescent="0.25">
      <c r="B44" s="39" t="s">
        <v>154</v>
      </c>
      <c r="C44" s="28" t="s">
        <v>20</v>
      </c>
      <c r="D44" s="8" t="s">
        <v>107</v>
      </c>
      <c r="E44" s="8"/>
      <c r="F44" s="9">
        <v>138</v>
      </c>
      <c r="G44" s="38">
        <f t="shared" si="0"/>
        <v>0</v>
      </c>
      <c r="I44" s="10"/>
    </row>
    <row r="45" spans="2:9" x14ac:dyDescent="0.25">
      <c r="B45" s="39" t="s">
        <v>154</v>
      </c>
      <c r="C45" s="28" t="s">
        <v>22</v>
      </c>
      <c r="D45" s="8" t="s">
        <v>107</v>
      </c>
      <c r="E45" s="8"/>
      <c r="F45" s="9">
        <v>48</v>
      </c>
      <c r="G45" s="38">
        <f t="shared" si="0"/>
        <v>0</v>
      </c>
      <c r="I45" s="10"/>
    </row>
    <row r="46" spans="2:9" x14ac:dyDescent="0.25">
      <c r="B46" s="39" t="s">
        <v>154</v>
      </c>
      <c r="C46" s="28" t="s">
        <v>21</v>
      </c>
      <c r="D46" s="8" t="s">
        <v>107</v>
      </c>
      <c r="E46" s="8"/>
      <c r="F46" s="9">
        <v>138</v>
      </c>
      <c r="G46" s="38">
        <f t="shared" si="0"/>
        <v>0</v>
      </c>
      <c r="I46" s="10"/>
    </row>
    <row r="47" spans="2:9" x14ac:dyDescent="0.25">
      <c r="B47" s="39" t="s">
        <v>154</v>
      </c>
      <c r="C47" s="28" t="s">
        <v>23</v>
      </c>
      <c r="D47" s="8" t="s">
        <v>107</v>
      </c>
      <c r="E47" s="8"/>
      <c r="F47" s="9">
        <v>228</v>
      </c>
      <c r="G47" s="38">
        <f t="shared" si="0"/>
        <v>0</v>
      </c>
      <c r="I47" s="10"/>
    </row>
    <row r="48" spans="2:9" x14ac:dyDescent="0.25">
      <c r="B48" s="39" t="s">
        <v>154</v>
      </c>
      <c r="C48" s="28" t="s">
        <v>24</v>
      </c>
      <c r="D48" s="8" t="s">
        <v>107</v>
      </c>
      <c r="E48" s="8"/>
      <c r="F48" s="9">
        <v>175</v>
      </c>
      <c r="G48" s="38">
        <f t="shared" si="0"/>
        <v>0</v>
      </c>
      <c r="I48" s="10"/>
    </row>
    <row r="49" spans="2:9" x14ac:dyDescent="0.25">
      <c r="B49" s="39" t="s">
        <v>154</v>
      </c>
      <c r="C49" s="28" t="s">
        <v>25</v>
      </c>
      <c r="D49" s="8" t="s">
        <v>107</v>
      </c>
      <c r="E49" s="8"/>
      <c r="F49" s="9">
        <v>108</v>
      </c>
      <c r="G49" s="38">
        <f t="shared" si="0"/>
        <v>0</v>
      </c>
    </row>
    <row r="50" spans="2:9" x14ac:dyDescent="0.25">
      <c r="B50" s="39" t="s">
        <v>154</v>
      </c>
      <c r="C50" s="28" t="s">
        <v>26</v>
      </c>
      <c r="D50" s="8" t="s">
        <v>107</v>
      </c>
      <c r="E50" s="8"/>
      <c r="F50" s="9">
        <v>114</v>
      </c>
      <c r="G50" s="38">
        <f t="shared" si="0"/>
        <v>0</v>
      </c>
    </row>
    <row r="51" spans="2:9" x14ac:dyDescent="0.25">
      <c r="B51" s="39" t="s">
        <v>154</v>
      </c>
      <c r="C51" s="28" t="s">
        <v>27</v>
      </c>
      <c r="D51" s="8" t="s">
        <v>107</v>
      </c>
      <c r="E51" s="8"/>
      <c r="F51" s="9">
        <v>120</v>
      </c>
      <c r="G51" s="38">
        <f t="shared" si="0"/>
        <v>0</v>
      </c>
    </row>
    <row r="52" spans="2:9" x14ac:dyDescent="0.25">
      <c r="B52" s="39" t="s">
        <v>154</v>
      </c>
      <c r="C52" s="28" t="s">
        <v>28</v>
      </c>
      <c r="D52" s="8" t="s">
        <v>107</v>
      </c>
      <c r="E52" s="8"/>
      <c r="F52" s="9">
        <v>132</v>
      </c>
      <c r="G52" s="38">
        <f t="shared" si="0"/>
        <v>0</v>
      </c>
    </row>
    <row r="53" spans="2:9" x14ac:dyDescent="0.25">
      <c r="B53" s="39" t="s">
        <v>154</v>
      </c>
      <c r="C53" s="28" t="s">
        <v>29</v>
      </c>
      <c r="D53" s="8" t="s">
        <v>107</v>
      </c>
      <c r="E53" s="8"/>
      <c r="F53" s="9">
        <v>40</v>
      </c>
      <c r="G53" s="38">
        <f t="shared" si="0"/>
        <v>0</v>
      </c>
      <c r="I53" s="10"/>
    </row>
    <row r="54" spans="2:9" x14ac:dyDescent="0.25">
      <c r="B54" s="37" t="s">
        <v>151</v>
      </c>
      <c r="C54" s="29" t="s">
        <v>92</v>
      </c>
      <c r="D54" s="8" t="s">
        <v>110</v>
      </c>
      <c r="E54" s="8"/>
      <c r="F54" s="9">
        <v>115</v>
      </c>
      <c r="G54" s="38">
        <f t="shared" si="0"/>
        <v>0</v>
      </c>
      <c r="I54" s="10"/>
    </row>
    <row r="55" spans="2:9" x14ac:dyDescent="0.25">
      <c r="B55" s="37" t="s">
        <v>151</v>
      </c>
      <c r="C55" s="29" t="s">
        <v>93</v>
      </c>
      <c r="D55" s="8" t="s">
        <v>110</v>
      </c>
      <c r="E55" s="8"/>
      <c r="F55" s="9">
        <v>115</v>
      </c>
      <c r="G55" s="38">
        <f t="shared" si="0"/>
        <v>0</v>
      </c>
      <c r="I55" s="10"/>
    </row>
    <row r="56" spans="2:9" x14ac:dyDescent="0.25">
      <c r="B56" s="39" t="s">
        <v>154</v>
      </c>
      <c r="C56" s="28" t="s">
        <v>30</v>
      </c>
      <c r="D56" s="8" t="s">
        <v>107</v>
      </c>
      <c r="E56" s="8"/>
      <c r="F56" s="9">
        <v>93</v>
      </c>
      <c r="G56" s="38">
        <f t="shared" si="0"/>
        <v>0</v>
      </c>
    </row>
    <row r="57" spans="2:9" x14ac:dyDescent="0.25">
      <c r="B57" s="39" t="s">
        <v>154</v>
      </c>
      <c r="C57" s="28" t="s">
        <v>31</v>
      </c>
      <c r="D57" s="8" t="s">
        <v>107</v>
      </c>
      <c r="E57" s="8"/>
      <c r="F57" s="9">
        <v>209</v>
      </c>
      <c r="G57" s="38">
        <f t="shared" si="0"/>
        <v>0</v>
      </c>
    </row>
    <row r="58" spans="2:9" x14ac:dyDescent="0.25">
      <c r="B58" s="39" t="s">
        <v>154</v>
      </c>
      <c r="C58" s="28" t="s">
        <v>133</v>
      </c>
      <c r="D58" s="8" t="s">
        <v>108</v>
      </c>
      <c r="E58" s="8"/>
      <c r="F58" s="9">
        <v>75</v>
      </c>
      <c r="G58" s="38">
        <f t="shared" si="0"/>
        <v>0</v>
      </c>
      <c r="I58" s="10"/>
    </row>
    <row r="59" spans="2:9" x14ac:dyDescent="0.25">
      <c r="B59" s="39" t="s">
        <v>154</v>
      </c>
      <c r="C59" s="28" t="s">
        <v>134</v>
      </c>
      <c r="D59" s="8" t="s">
        <v>108</v>
      </c>
      <c r="E59" s="8"/>
      <c r="F59" s="9">
        <v>63</v>
      </c>
      <c r="G59" s="38">
        <f t="shared" si="0"/>
        <v>0</v>
      </c>
      <c r="I59" s="10"/>
    </row>
    <row r="60" spans="2:9" x14ac:dyDescent="0.25">
      <c r="B60" s="40" t="s">
        <v>152</v>
      </c>
      <c r="C60" s="28" t="s">
        <v>89</v>
      </c>
      <c r="D60" s="8" t="s">
        <v>107</v>
      </c>
      <c r="E60" s="8"/>
      <c r="F60" s="9">
        <v>40.5</v>
      </c>
      <c r="G60" s="38">
        <f t="shared" si="0"/>
        <v>0</v>
      </c>
    </row>
    <row r="61" spans="2:9" x14ac:dyDescent="0.25">
      <c r="B61" s="37" t="s">
        <v>151</v>
      </c>
      <c r="C61" s="28" t="s">
        <v>94</v>
      </c>
      <c r="D61" s="8" t="s">
        <v>107</v>
      </c>
      <c r="E61" s="8"/>
      <c r="F61" s="9">
        <v>160</v>
      </c>
      <c r="G61" s="38">
        <f t="shared" si="0"/>
        <v>0</v>
      </c>
      <c r="I61" s="10"/>
    </row>
    <row r="62" spans="2:9" x14ac:dyDescent="0.25">
      <c r="B62" s="37" t="s">
        <v>151</v>
      </c>
      <c r="C62" s="28" t="s">
        <v>95</v>
      </c>
      <c r="D62" s="8" t="s">
        <v>111</v>
      </c>
      <c r="E62" s="8"/>
      <c r="F62" s="11">
        <v>65</v>
      </c>
      <c r="G62" s="38">
        <f t="shared" si="0"/>
        <v>0</v>
      </c>
    </row>
    <row r="63" spans="2:9" x14ac:dyDescent="0.25">
      <c r="B63" s="39" t="s">
        <v>154</v>
      </c>
      <c r="C63" s="28" t="s">
        <v>32</v>
      </c>
      <c r="D63" s="8" t="s">
        <v>107</v>
      </c>
      <c r="E63" s="8"/>
      <c r="F63" s="9">
        <v>90</v>
      </c>
      <c r="G63" s="38">
        <f t="shared" si="0"/>
        <v>0</v>
      </c>
    </row>
    <row r="64" spans="2:9" x14ac:dyDescent="0.25">
      <c r="B64" s="39" t="s">
        <v>154</v>
      </c>
      <c r="C64" s="28" t="s">
        <v>35</v>
      </c>
      <c r="D64" s="8" t="s">
        <v>107</v>
      </c>
      <c r="E64" s="8"/>
      <c r="F64" s="9">
        <v>90</v>
      </c>
      <c r="G64" s="38">
        <f t="shared" si="0"/>
        <v>0</v>
      </c>
    </row>
    <row r="65" spans="2:9" x14ac:dyDescent="0.25">
      <c r="B65" s="41" t="s">
        <v>153</v>
      </c>
      <c r="C65" s="28" t="s">
        <v>33</v>
      </c>
      <c r="D65" s="8" t="s">
        <v>107</v>
      </c>
      <c r="E65" s="8"/>
      <c r="F65" s="9">
        <v>31</v>
      </c>
      <c r="G65" s="38">
        <f t="shared" si="0"/>
        <v>0</v>
      </c>
    </row>
    <row r="66" spans="2:9" x14ac:dyDescent="0.25">
      <c r="B66" s="40" t="s">
        <v>152</v>
      </c>
      <c r="C66" s="28" t="s">
        <v>34</v>
      </c>
      <c r="D66" s="8" t="s">
        <v>107</v>
      </c>
      <c r="E66" s="8"/>
      <c r="F66" s="9">
        <v>56</v>
      </c>
      <c r="G66" s="38">
        <f t="shared" si="0"/>
        <v>0</v>
      </c>
      <c r="I66" s="10"/>
    </row>
    <row r="67" spans="2:9" x14ac:dyDescent="0.25">
      <c r="B67" s="40" t="s">
        <v>152</v>
      </c>
      <c r="C67" s="28" t="s">
        <v>36</v>
      </c>
      <c r="D67" s="8" t="s">
        <v>107</v>
      </c>
      <c r="E67" s="8"/>
      <c r="F67" s="9">
        <v>120</v>
      </c>
      <c r="G67" s="38">
        <f t="shared" si="0"/>
        <v>0</v>
      </c>
      <c r="I67" s="10"/>
    </row>
    <row r="68" spans="2:9" x14ac:dyDescent="0.25">
      <c r="B68" s="37" t="s">
        <v>151</v>
      </c>
      <c r="C68" s="28" t="s">
        <v>164</v>
      </c>
      <c r="D68" s="8" t="s">
        <v>163</v>
      </c>
      <c r="E68" s="8"/>
      <c r="F68" s="11">
        <v>395</v>
      </c>
      <c r="G68" s="38">
        <f t="shared" ref="G68" si="1">E68*F68</f>
        <v>0</v>
      </c>
      <c r="I68" s="63"/>
    </row>
    <row r="69" spans="2:9" x14ac:dyDescent="0.25">
      <c r="B69" s="37" t="s">
        <v>151</v>
      </c>
      <c r="C69" s="28" t="s">
        <v>136</v>
      </c>
      <c r="D69" s="8" t="s">
        <v>112</v>
      </c>
      <c r="E69" s="8"/>
      <c r="F69" s="9">
        <v>287</v>
      </c>
      <c r="G69" s="38">
        <f t="shared" si="0"/>
        <v>0</v>
      </c>
      <c r="I69" s="10"/>
    </row>
    <row r="70" spans="2:9" x14ac:dyDescent="0.25">
      <c r="B70" s="37" t="s">
        <v>151</v>
      </c>
      <c r="C70" s="28" t="s">
        <v>135</v>
      </c>
      <c r="D70" s="8" t="s">
        <v>112</v>
      </c>
      <c r="E70" s="8"/>
      <c r="F70" s="9">
        <v>287</v>
      </c>
      <c r="G70" s="38">
        <f t="shared" si="0"/>
        <v>0</v>
      </c>
      <c r="I70" s="10"/>
    </row>
    <row r="71" spans="2:9" x14ac:dyDescent="0.25">
      <c r="B71" s="39" t="s">
        <v>154</v>
      </c>
      <c r="C71" s="28" t="s">
        <v>114</v>
      </c>
      <c r="D71" s="8" t="s">
        <v>113</v>
      </c>
      <c r="E71" s="8"/>
      <c r="F71" s="9">
        <v>50</v>
      </c>
      <c r="G71" s="38">
        <f t="shared" si="0"/>
        <v>0</v>
      </c>
      <c r="I71" s="10"/>
    </row>
    <row r="72" spans="2:9" x14ac:dyDescent="0.25">
      <c r="B72" s="39" t="s">
        <v>154</v>
      </c>
      <c r="C72" s="28" t="s">
        <v>37</v>
      </c>
      <c r="D72" s="8" t="s">
        <v>107</v>
      </c>
      <c r="E72" s="8"/>
      <c r="F72" s="9">
        <v>37</v>
      </c>
      <c r="G72" s="38">
        <f t="shared" si="0"/>
        <v>0</v>
      </c>
      <c r="I72" s="10"/>
    </row>
    <row r="73" spans="2:9" x14ac:dyDescent="0.25">
      <c r="B73" s="39" t="s">
        <v>154</v>
      </c>
      <c r="C73" s="28" t="s">
        <v>88</v>
      </c>
      <c r="D73" s="8" t="s">
        <v>107</v>
      </c>
      <c r="E73" s="8"/>
      <c r="F73" s="9">
        <v>31</v>
      </c>
      <c r="G73" s="38">
        <f t="shared" si="0"/>
        <v>0</v>
      </c>
      <c r="I73" s="10"/>
    </row>
    <row r="74" spans="2:9" x14ac:dyDescent="0.25">
      <c r="B74" s="39" t="s">
        <v>154</v>
      </c>
      <c r="C74" s="28" t="s">
        <v>40</v>
      </c>
      <c r="D74" s="8" t="s">
        <v>107</v>
      </c>
      <c r="E74" s="8"/>
      <c r="F74" s="9">
        <v>32</v>
      </c>
      <c r="G74" s="38">
        <f t="shared" si="0"/>
        <v>0</v>
      </c>
      <c r="I74" s="10"/>
    </row>
    <row r="75" spans="2:9" x14ac:dyDescent="0.25">
      <c r="B75" s="39" t="s">
        <v>154</v>
      </c>
      <c r="C75" s="28" t="s">
        <v>39</v>
      </c>
      <c r="D75" s="8" t="s">
        <v>107</v>
      </c>
      <c r="E75" s="8"/>
      <c r="F75" s="9">
        <v>37</v>
      </c>
      <c r="G75" s="38">
        <f t="shared" ref="G75:G135" si="2">E75*F75</f>
        <v>0</v>
      </c>
      <c r="I75" s="10"/>
    </row>
    <row r="76" spans="2:9" x14ac:dyDescent="0.25">
      <c r="B76" s="39" t="s">
        <v>154</v>
      </c>
      <c r="C76" s="28" t="s">
        <v>38</v>
      </c>
      <c r="D76" s="8" t="s">
        <v>107</v>
      </c>
      <c r="E76" s="8"/>
      <c r="F76" s="9">
        <v>39</v>
      </c>
      <c r="G76" s="38">
        <f t="shared" si="2"/>
        <v>0</v>
      </c>
      <c r="I76" s="10"/>
    </row>
    <row r="77" spans="2:9" x14ac:dyDescent="0.25">
      <c r="B77" s="39" t="s">
        <v>154</v>
      </c>
      <c r="C77" s="28" t="s">
        <v>87</v>
      </c>
      <c r="D77" s="8" t="s">
        <v>107</v>
      </c>
      <c r="E77" s="8"/>
      <c r="F77" s="9">
        <v>30</v>
      </c>
      <c r="G77" s="38">
        <f t="shared" si="2"/>
        <v>0</v>
      </c>
      <c r="I77" s="10"/>
    </row>
    <row r="78" spans="2:9" x14ac:dyDescent="0.25">
      <c r="B78" s="39" t="s">
        <v>154</v>
      </c>
      <c r="C78" s="28" t="s">
        <v>41</v>
      </c>
      <c r="D78" s="8" t="s">
        <v>107</v>
      </c>
      <c r="E78" s="8"/>
      <c r="F78" s="9">
        <v>32</v>
      </c>
      <c r="G78" s="38">
        <f t="shared" si="2"/>
        <v>0</v>
      </c>
      <c r="I78" s="10"/>
    </row>
    <row r="79" spans="2:9" x14ac:dyDescent="0.25">
      <c r="B79" s="40" t="s">
        <v>152</v>
      </c>
      <c r="C79" s="28" t="s">
        <v>96</v>
      </c>
      <c r="D79" s="8" t="s">
        <v>113</v>
      </c>
      <c r="E79" s="8"/>
      <c r="F79" s="9">
        <v>60</v>
      </c>
      <c r="G79" s="38">
        <f t="shared" si="2"/>
        <v>0</v>
      </c>
    </row>
    <row r="80" spans="2:9" x14ac:dyDescent="0.25">
      <c r="B80" s="37" t="s">
        <v>151</v>
      </c>
      <c r="C80" s="28" t="s">
        <v>166</v>
      </c>
      <c r="D80" s="8" t="s">
        <v>165</v>
      </c>
      <c r="E80" s="8"/>
      <c r="F80" s="11">
        <v>389</v>
      </c>
      <c r="G80" s="38">
        <f t="shared" si="2"/>
        <v>0</v>
      </c>
    </row>
    <row r="81" spans="2:9" x14ac:dyDescent="0.25">
      <c r="B81" s="39" t="s">
        <v>154</v>
      </c>
      <c r="C81" s="28" t="s">
        <v>42</v>
      </c>
      <c r="D81" s="8" t="s">
        <v>107</v>
      </c>
      <c r="E81" s="8"/>
      <c r="F81" s="9">
        <v>48</v>
      </c>
      <c r="G81" s="38">
        <f t="shared" si="2"/>
        <v>0</v>
      </c>
      <c r="I81" s="10"/>
    </row>
    <row r="82" spans="2:9" x14ac:dyDescent="0.25">
      <c r="B82" s="39" t="s">
        <v>154</v>
      </c>
      <c r="C82" s="28" t="s">
        <v>44</v>
      </c>
      <c r="D82" s="8" t="s">
        <v>107</v>
      </c>
      <c r="E82" s="8"/>
      <c r="F82" s="9">
        <v>48</v>
      </c>
      <c r="G82" s="38">
        <f t="shared" si="2"/>
        <v>0</v>
      </c>
      <c r="I82" s="10"/>
    </row>
    <row r="83" spans="2:9" x14ac:dyDescent="0.25">
      <c r="B83" s="37" t="s">
        <v>151</v>
      </c>
      <c r="C83" s="28" t="s">
        <v>140</v>
      </c>
      <c r="D83" s="8" t="s">
        <v>107</v>
      </c>
      <c r="E83" s="8"/>
      <c r="F83" s="9">
        <v>225</v>
      </c>
      <c r="G83" s="38">
        <f t="shared" si="2"/>
        <v>0</v>
      </c>
      <c r="I83" s="10"/>
    </row>
    <row r="84" spans="2:9" x14ac:dyDescent="0.25">
      <c r="B84" s="39" t="s">
        <v>154</v>
      </c>
      <c r="C84" s="28" t="s">
        <v>43</v>
      </c>
      <c r="D84" s="8" t="s">
        <v>107</v>
      </c>
      <c r="E84" s="8"/>
      <c r="F84" s="9">
        <v>54</v>
      </c>
      <c r="G84" s="38">
        <f t="shared" si="2"/>
        <v>0</v>
      </c>
      <c r="I84" s="10"/>
    </row>
    <row r="85" spans="2:9" x14ac:dyDescent="0.25">
      <c r="B85" s="39" t="s">
        <v>154</v>
      </c>
      <c r="C85" s="28" t="s">
        <v>131</v>
      </c>
      <c r="D85" s="8" t="s">
        <v>108</v>
      </c>
      <c r="E85" s="8"/>
      <c r="F85" s="9">
        <v>40</v>
      </c>
      <c r="G85" s="38">
        <f t="shared" si="2"/>
        <v>0</v>
      </c>
    </row>
    <row r="86" spans="2:9" x14ac:dyDescent="0.25">
      <c r="B86" s="39" t="s">
        <v>154</v>
      </c>
      <c r="C86" s="28" t="s">
        <v>45</v>
      </c>
      <c r="D86" s="8" t="s">
        <v>108</v>
      </c>
      <c r="E86" s="8"/>
      <c r="F86" s="9">
        <v>194</v>
      </c>
      <c r="G86" s="38">
        <f t="shared" si="2"/>
        <v>0</v>
      </c>
    </row>
    <row r="87" spans="2:9" x14ac:dyDescent="0.25">
      <c r="B87" s="39" t="s">
        <v>154</v>
      </c>
      <c r="C87" s="28" t="s">
        <v>46</v>
      </c>
      <c r="D87" s="8" t="s">
        <v>107</v>
      </c>
      <c r="E87" s="8"/>
      <c r="F87" s="9">
        <v>81</v>
      </c>
      <c r="G87" s="38">
        <f t="shared" si="2"/>
        <v>0</v>
      </c>
    </row>
    <row r="88" spans="2:9" x14ac:dyDescent="0.25">
      <c r="B88" s="37" t="s">
        <v>151</v>
      </c>
      <c r="C88" s="28" t="s">
        <v>47</v>
      </c>
      <c r="D88" s="8" t="s">
        <v>108</v>
      </c>
      <c r="E88" s="8"/>
      <c r="F88" s="11">
        <v>24</v>
      </c>
      <c r="G88" s="38">
        <f t="shared" si="2"/>
        <v>0</v>
      </c>
    </row>
    <row r="89" spans="2:9" x14ac:dyDescent="0.25">
      <c r="B89" s="37" t="s">
        <v>151</v>
      </c>
      <c r="C89" s="28" t="s">
        <v>48</v>
      </c>
      <c r="D89" s="8" t="s">
        <v>108</v>
      </c>
      <c r="E89" s="8"/>
      <c r="F89" s="11">
        <v>34</v>
      </c>
      <c r="G89" s="38">
        <f t="shared" si="2"/>
        <v>0</v>
      </c>
      <c r="I89" s="10"/>
    </row>
    <row r="90" spans="2:9" x14ac:dyDescent="0.25">
      <c r="B90" s="39" t="s">
        <v>154</v>
      </c>
      <c r="C90" s="28" t="s">
        <v>137</v>
      </c>
      <c r="D90" s="8" t="s">
        <v>115</v>
      </c>
      <c r="E90" s="8"/>
      <c r="F90" s="9">
        <v>510</v>
      </c>
      <c r="G90" s="38">
        <f t="shared" si="2"/>
        <v>0</v>
      </c>
      <c r="I90" s="10"/>
    </row>
    <row r="91" spans="2:9" x14ac:dyDescent="0.25">
      <c r="B91" s="39" t="s">
        <v>154</v>
      </c>
      <c r="C91" s="28" t="s">
        <v>138</v>
      </c>
      <c r="D91" s="8" t="s">
        <v>116</v>
      </c>
      <c r="E91" s="8"/>
      <c r="F91" s="9">
        <v>150</v>
      </c>
      <c r="G91" s="38">
        <f t="shared" si="2"/>
        <v>0</v>
      </c>
      <c r="I91" s="10"/>
    </row>
    <row r="92" spans="2:9" x14ac:dyDescent="0.25">
      <c r="B92" s="37" t="s">
        <v>151</v>
      </c>
      <c r="C92" s="28" t="s">
        <v>49</v>
      </c>
      <c r="D92" s="8" t="s">
        <v>107</v>
      </c>
      <c r="E92" s="8"/>
      <c r="F92" s="11">
        <v>300</v>
      </c>
      <c r="G92" s="38">
        <f t="shared" si="2"/>
        <v>0</v>
      </c>
      <c r="I92" s="10"/>
    </row>
    <row r="93" spans="2:9" x14ac:dyDescent="0.25">
      <c r="B93" s="40" t="s">
        <v>152</v>
      </c>
      <c r="C93" s="28" t="s">
        <v>50</v>
      </c>
      <c r="D93" s="8" t="s">
        <v>107</v>
      </c>
      <c r="E93" s="8"/>
      <c r="F93" s="11">
        <v>74</v>
      </c>
      <c r="G93" s="38">
        <f t="shared" si="2"/>
        <v>0</v>
      </c>
      <c r="I93" s="10"/>
    </row>
    <row r="94" spans="2:9" x14ac:dyDescent="0.25">
      <c r="B94" s="42" t="s">
        <v>155</v>
      </c>
      <c r="C94" s="28" t="s">
        <v>51</v>
      </c>
      <c r="D94" s="8" t="s">
        <v>117</v>
      </c>
      <c r="E94" s="8"/>
      <c r="F94" s="11">
        <v>30</v>
      </c>
      <c r="G94" s="38">
        <f t="shared" si="2"/>
        <v>0</v>
      </c>
    </row>
    <row r="95" spans="2:9" x14ac:dyDescent="0.25">
      <c r="B95" s="39" t="s">
        <v>154</v>
      </c>
      <c r="C95" s="28" t="s">
        <v>52</v>
      </c>
      <c r="D95" s="8" t="s">
        <v>107</v>
      </c>
      <c r="E95" s="8"/>
      <c r="F95" s="11">
        <v>200</v>
      </c>
      <c r="G95" s="38">
        <f t="shared" si="2"/>
        <v>0</v>
      </c>
      <c r="I95" s="10"/>
    </row>
    <row r="96" spans="2:9" x14ac:dyDescent="0.25">
      <c r="B96" s="39" t="s">
        <v>154</v>
      </c>
      <c r="C96" s="28" t="s">
        <v>53</v>
      </c>
      <c r="D96" s="8" t="s">
        <v>107</v>
      </c>
      <c r="E96" s="8"/>
      <c r="F96" s="11">
        <v>114</v>
      </c>
      <c r="G96" s="38">
        <f t="shared" si="2"/>
        <v>0</v>
      </c>
      <c r="I96" s="10"/>
    </row>
    <row r="97" spans="2:9" x14ac:dyDescent="0.25">
      <c r="B97" s="39" t="s">
        <v>154</v>
      </c>
      <c r="C97" s="28" t="s">
        <v>54</v>
      </c>
      <c r="D97" s="8" t="s">
        <v>107</v>
      </c>
      <c r="E97" s="8"/>
      <c r="F97" s="11">
        <v>156</v>
      </c>
      <c r="G97" s="38">
        <f t="shared" si="2"/>
        <v>0</v>
      </c>
      <c r="I97" s="10"/>
    </row>
    <row r="98" spans="2:9" x14ac:dyDescent="0.25">
      <c r="B98" s="39" t="s">
        <v>154</v>
      </c>
      <c r="C98" s="28" t="s">
        <v>55</v>
      </c>
      <c r="D98" s="8" t="s">
        <v>107</v>
      </c>
      <c r="E98" s="8"/>
      <c r="F98" s="11">
        <v>90</v>
      </c>
      <c r="G98" s="38">
        <f t="shared" si="2"/>
        <v>0</v>
      </c>
    </row>
    <row r="99" spans="2:9" x14ac:dyDescent="0.25">
      <c r="B99" s="39" t="s">
        <v>154</v>
      </c>
      <c r="C99" s="28" t="s">
        <v>126</v>
      </c>
      <c r="D99" s="8" t="s">
        <v>107</v>
      </c>
      <c r="E99" s="8"/>
      <c r="F99" s="11">
        <v>33</v>
      </c>
      <c r="G99" s="38">
        <f t="shared" si="2"/>
        <v>0</v>
      </c>
      <c r="I99" s="10"/>
    </row>
    <row r="100" spans="2:9" x14ac:dyDescent="0.25">
      <c r="B100" s="37" t="s">
        <v>151</v>
      </c>
      <c r="C100" s="28" t="s">
        <v>127</v>
      </c>
      <c r="D100" s="8" t="s">
        <v>118</v>
      </c>
      <c r="E100" s="8"/>
      <c r="F100" s="11">
        <v>85</v>
      </c>
      <c r="G100" s="38">
        <f t="shared" si="2"/>
        <v>0</v>
      </c>
    </row>
    <row r="101" spans="2:9" x14ac:dyDescent="0.25">
      <c r="B101" s="39" t="s">
        <v>154</v>
      </c>
      <c r="C101" s="28" t="s">
        <v>56</v>
      </c>
      <c r="D101" s="8" t="s">
        <v>107</v>
      </c>
      <c r="E101" s="8"/>
      <c r="F101" s="11">
        <v>35</v>
      </c>
      <c r="G101" s="38">
        <f t="shared" si="2"/>
        <v>0</v>
      </c>
    </row>
    <row r="102" spans="2:9" x14ac:dyDescent="0.25">
      <c r="B102" s="39" t="s">
        <v>154</v>
      </c>
      <c r="C102" s="28" t="s">
        <v>58</v>
      </c>
      <c r="D102" s="8" t="s">
        <v>107</v>
      </c>
      <c r="E102" s="8"/>
      <c r="F102" s="11">
        <v>24</v>
      </c>
      <c r="G102" s="38">
        <f t="shared" si="2"/>
        <v>0</v>
      </c>
      <c r="I102" s="10"/>
    </row>
    <row r="103" spans="2:9" x14ac:dyDescent="0.25">
      <c r="B103" s="37" t="s">
        <v>151</v>
      </c>
      <c r="C103" s="28" t="s">
        <v>100</v>
      </c>
      <c r="D103" s="8" t="s">
        <v>119</v>
      </c>
      <c r="E103" s="8"/>
      <c r="F103" s="11">
        <v>8</v>
      </c>
      <c r="G103" s="38">
        <f t="shared" si="2"/>
        <v>0</v>
      </c>
      <c r="I103" s="10"/>
    </row>
    <row r="104" spans="2:9" x14ac:dyDescent="0.25">
      <c r="B104" s="39" t="s">
        <v>154</v>
      </c>
      <c r="C104" s="28" t="s">
        <v>57</v>
      </c>
      <c r="D104" s="8" t="s">
        <v>107</v>
      </c>
      <c r="E104" s="8"/>
      <c r="F104" s="11">
        <v>23</v>
      </c>
      <c r="G104" s="38">
        <f t="shared" si="2"/>
        <v>0</v>
      </c>
      <c r="I104" s="10"/>
    </row>
    <row r="105" spans="2:9" x14ac:dyDescent="0.25">
      <c r="B105" s="37" t="s">
        <v>151</v>
      </c>
      <c r="C105" s="28" t="s">
        <v>128</v>
      </c>
      <c r="D105" s="8" t="s">
        <v>120</v>
      </c>
      <c r="E105" s="8"/>
      <c r="F105" s="11">
        <v>55</v>
      </c>
      <c r="G105" s="38">
        <f t="shared" si="2"/>
        <v>0</v>
      </c>
    </row>
    <row r="106" spans="2:9" x14ac:dyDescent="0.25">
      <c r="B106" s="39" t="s">
        <v>154</v>
      </c>
      <c r="C106" s="28" t="s">
        <v>59</v>
      </c>
      <c r="D106" s="8" t="s">
        <v>107</v>
      </c>
      <c r="E106" s="8"/>
      <c r="F106" s="11">
        <v>104</v>
      </c>
      <c r="G106" s="38">
        <f t="shared" si="2"/>
        <v>0</v>
      </c>
    </row>
    <row r="107" spans="2:9" x14ac:dyDescent="0.25">
      <c r="B107" s="37" t="s">
        <v>151</v>
      </c>
      <c r="C107" s="28" t="s">
        <v>122</v>
      </c>
      <c r="D107" s="8" t="s">
        <v>121</v>
      </c>
      <c r="E107" s="8"/>
      <c r="F107" s="11">
        <v>45</v>
      </c>
      <c r="G107" s="38">
        <f t="shared" si="2"/>
        <v>0</v>
      </c>
      <c r="I107" s="10"/>
    </row>
    <row r="108" spans="2:9" x14ac:dyDescent="0.25">
      <c r="B108" s="37" t="s">
        <v>151</v>
      </c>
      <c r="C108" s="28" t="s">
        <v>123</v>
      </c>
      <c r="D108" s="8" t="s">
        <v>121</v>
      </c>
      <c r="E108" s="8"/>
      <c r="F108" s="11">
        <v>46</v>
      </c>
      <c r="G108" s="38">
        <f t="shared" si="2"/>
        <v>0</v>
      </c>
      <c r="I108" s="10"/>
    </row>
    <row r="109" spans="2:9" x14ac:dyDescent="0.25">
      <c r="B109" s="37" t="s">
        <v>151</v>
      </c>
      <c r="C109" s="28" t="s">
        <v>141</v>
      </c>
      <c r="D109" s="8" t="s">
        <v>124</v>
      </c>
      <c r="E109" s="8"/>
      <c r="F109" s="11">
        <v>68</v>
      </c>
      <c r="G109" s="38">
        <f t="shared" si="2"/>
        <v>0</v>
      </c>
      <c r="I109" s="10"/>
    </row>
    <row r="110" spans="2:9" x14ac:dyDescent="0.25">
      <c r="B110" s="39" t="s">
        <v>154</v>
      </c>
      <c r="C110" s="28" t="s">
        <v>61</v>
      </c>
      <c r="D110" s="8" t="s">
        <v>107</v>
      </c>
      <c r="E110" s="8"/>
      <c r="F110" s="11">
        <v>250</v>
      </c>
      <c r="G110" s="38">
        <f t="shared" si="2"/>
        <v>0</v>
      </c>
      <c r="I110" s="10"/>
    </row>
    <row r="111" spans="2:9" x14ac:dyDescent="0.25">
      <c r="B111" s="39" t="s">
        <v>154</v>
      </c>
      <c r="C111" s="28" t="s">
        <v>60</v>
      </c>
      <c r="D111" s="8" t="s">
        <v>107</v>
      </c>
      <c r="E111" s="8"/>
      <c r="F111" s="11">
        <v>120</v>
      </c>
      <c r="G111" s="38">
        <f t="shared" si="2"/>
        <v>0</v>
      </c>
      <c r="I111" s="10"/>
    </row>
    <row r="112" spans="2:9" x14ac:dyDescent="0.25">
      <c r="B112" s="40" t="s">
        <v>152</v>
      </c>
      <c r="C112" s="28" t="s">
        <v>62</v>
      </c>
      <c r="D112" s="8" t="s">
        <v>107</v>
      </c>
      <c r="E112" s="8"/>
      <c r="F112" s="11">
        <v>78</v>
      </c>
      <c r="G112" s="38">
        <f t="shared" si="2"/>
        <v>0</v>
      </c>
    </row>
    <row r="113" spans="2:9" x14ac:dyDescent="0.25">
      <c r="B113" s="40" t="s">
        <v>152</v>
      </c>
      <c r="C113" s="28" t="s">
        <v>63</v>
      </c>
      <c r="D113" s="8" t="s">
        <v>107</v>
      </c>
      <c r="E113" s="8"/>
      <c r="F113" s="11">
        <v>72</v>
      </c>
      <c r="G113" s="38">
        <f t="shared" si="2"/>
        <v>0</v>
      </c>
    </row>
    <row r="114" spans="2:9" x14ac:dyDescent="0.25">
      <c r="B114" s="40" t="s">
        <v>152</v>
      </c>
      <c r="C114" s="28" t="s">
        <v>142</v>
      </c>
      <c r="D114" s="8" t="s">
        <v>107</v>
      </c>
      <c r="E114" s="8"/>
      <c r="F114" s="11">
        <v>108</v>
      </c>
      <c r="G114" s="38">
        <f t="shared" si="2"/>
        <v>0</v>
      </c>
      <c r="I114" s="10"/>
    </row>
    <row r="115" spans="2:9" x14ac:dyDescent="0.25">
      <c r="B115" s="39" t="s">
        <v>154</v>
      </c>
      <c r="C115" s="28" t="s">
        <v>64</v>
      </c>
      <c r="D115" s="8" t="s">
        <v>107</v>
      </c>
      <c r="E115" s="8"/>
      <c r="F115" s="11">
        <v>56</v>
      </c>
      <c r="G115" s="38">
        <f t="shared" si="2"/>
        <v>0</v>
      </c>
    </row>
    <row r="116" spans="2:9" x14ac:dyDescent="0.25">
      <c r="B116" s="39" t="s">
        <v>154</v>
      </c>
      <c r="C116" s="28" t="s">
        <v>65</v>
      </c>
      <c r="D116" s="8" t="s">
        <v>107</v>
      </c>
      <c r="E116" s="8"/>
      <c r="F116" s="11">
        <v>72</v>
      </c>
      <c r="G116" s="38">
        <f t="shared" si="2"/>
        <v>0</v>
      </c>
    </row>
    <row r="117" spans="2:9" x14ac:dyDescent="0.25">
      <c r="B117" s="39" t="s">
        <v>154</v>
      </c>
      <c r="C117" s="28" t="s">
        <v>66</v>
      </c>
      <c r="D117" s="8" t="s">
        <v>107</v>
      </c>
      <c r="E117" s="8"/>
      <c r="F117" s="11">
        <v>31</v>
      </c>
      <c r="G117" s="38">
        <f t="shared" si="2"/>
        <v>0</v>
      </c>
    </row>
    <row r="118" spans="2:9" x14ac:dyDescent="0.25">
      <c r="B118" s="39" t="s">
        <v>154</v>
      </c>
      <c r="C118" s="28" t="s">
        <v>67</v>
      </c>
      <c r="D118" s="8" t="s">
        <v>107</v>
      </c>
      <c r="E118" s="8"/>
      <c r="F118" s="11">
        <v>138</v>
      </c>
      <c r="G118" s="38">
        <f t="shared" si="2"/>
        <v>0</v>
      </c>
      <c r="I118" s="10"/>
    </row>
    <row r="119" spans="2:9" x14ac:dyDescent="0.25">
      <c r="B119" s="39" t="s">
        <v>154</v>
      </c>
      <c r="C119" s="28" t="s">
        <v>68</v>
      </c>
      <c r="D119" s="8" t="s">
        <v>107</v>
      </c>
      <c r="E119" s="8"/>
      <c r="F119" s="11">
        <v>85</v>
      </c>
      <c r="G119" s="38">
        <f t="shared" si="2"/>
        <v>0</v>
      </c>
      <c r="I119" s="10"/>
    </row>
    <row r="120" spans="2:9" x14ac:dyDescent="0.25">
      <c r="B120" s="39" t="s">
        <v>154</v>
      </c>
      <c r="C120" s="28" t="s">
        <v>143</v>
      </c>
      <c r="D120" s="8" t="s">
        <v>125</v>
      </c>
      <c r="E120" s="8"/>
      <c r="F120" s="11">
        <v>182</v>
      </c>
      <c r="G120" s="38">
        <f t="shared" si="2"/>
        <v>0</v>
      </c>
    </row>
    <row r="121" spans="2:9" x14ac:dyDescent="0.25">
      <c r="B121" s="39" t="s">
        <v>154</v>
      </c>
      <c r="C121" s="28" t="s">
        <v>144</v>
      </c>
      <c r="D121" s="8" t="s">
        <v>107</v>
      </c>
      <c r="E121" s="8"/>
      <c r="F121" s="11">
        <v>43</v>
      </c>
      <c r="G121" s="38">
        <f t="shared" si="2"/>
        <v>0</v>
      </c>
      <c r="I121" s="10"/>
    </row>
    <row r="122" spans="2:9" x14ac:dyDescent="0.25">
      <c r="B122" s="40" t="s">
        <v>152</v>
      </c>
      <c r="C122" s="28" t="s">
        <v>167</v>
      </c>
      <c r="D122" s="8" t="s">
        <v>107</v>
      </c>
      <c r="E122" s="8"/>
      <c r="F122" s="11">
        <v>144</v>
      </c>
      <c r="G122" s="38">
        <f t="shared" si="2"/>
        <v>0</v>
      </c>
      <c r="I122" s="10"/>
    </row>
    <row r="123" spans="2:9" x14ac:dyDescent="0.25">
      <c r="B123" s="39" t="s">
        <v>154</v>
      </c>
      <c r="C123" s="28" t="s">
        <v>69</v>
      </c>
      <c r="D123" s="8" t="s">
        <v>107</v>
      </c>
      <c r="E123" s="8"/>
      <c r="F123" s="11">
        <v>20</v>
      </c>
      <c r="G123" s="38">
        <f t="shared" si="2"/>
        <v>0</v>
      </c>
      <c r="I123" s="10"/>
    </row>
    <row r="124" spans="2:9" x14ac:dyDescent="0.25">
      <c r="B124" s="39" t="s">
        <v>154</v>
      </c>
      <c r="C124" s="28" t="s">
        <v>70</v>
      </c>
      <c r="D124" s="8" t="s">
        <v>107</v>
      </c>
      <c r="E124" s="8"/>
      <c r="F124" s="11">
        <v>25</v>
      </c>
      <c r="G124" s="38">
        <f t="shared" si="2"/>
        <v>0</v>
      </c>
    </row>
    <row r="125" spans="2:9" x14ac:dyDescent="0.25">
      <c r="B125" s="41" t="s">
        <v>153</v>
      </c>
      <c r="C125" s="28" t="s">
        <v>98</v>
      </c>
      <c r="D125" s="8" t="s">
        <v>107</v>
      </c>
      <c r="E125" s="8"/>
      <c r="F125" s="11">
        <v>8</v>
      </c>
      <c r="G125" s="38">
        <f t="shared" si="2"/>
        <v>0</v>
      </c>
      <c r="I125" s="10"/>
    </row>
    <row r="126" spans="2:9" x14ac:dyDescent="0.25">
      <c r="B126" s="41" t="s">
        <v>153</v>
      </c>
      <c r="C126" s="28" t="s">
        <v>99</v>
      </c>
      <c r="D126" s="8" t="s">
        <v>107</v>
      </c>
      <c r="E126" s="8"/>
      <c r="F126" s="11">
        <v>8.5</v>
      </c>
      <c r="G126" s="38">
        <f t="shared" si="2"/>
        <v>0</v>
      </c>
    </row>
    <row r="127" spans="2:9" x14ac:dyDescent="0.25">
      <c r="B127" s="37" t="s">
        <v>151</v>
      </c>
      <c r="C127" s="28" t="s">
        <v>71</v>
      </c>
      <c r="D127" s="8" t="s">
        <v>107</v>
      </c>
      <c r="E127" s="8"/>
      <c r="F127" s="11">
        <v>38</v>
      </c>
      <c r="G127" s="38">
        <f t="shared" si="2"/>
        <v>0</v>
      </c>
    </row>
    <row r="128" spans="2:9" x14ac:dyDescent="0.25">
      <c r="B128" s="39" t="s">
        <v>154</v>
      </c>
      <c r="C128" s="28" t="s">
        <v>72</v>
      </c>
      <c r="D128" s="8" t="s">
        <v>107</v>
      </c>
      <c r="E128" s="8"/>
      <c r="F128" s="11">
        <v>160</v>
      </c>
      <c r="G128" s="38">
        <f t="shared" si="2"/>
        <v>0</v>
      </c>
    </row>
    <row r="129" spans="2:7" x14ac:dyDescent="0.25">
      <c r="B129" s="40" t="s">
        <v>152</v>
      </c>
      <c r="C129" s="28" t="s">
        <v>73</v>
      </c>
      <c r="D129" s="8" t="s">
        <v>107</v>
      </c>
      <c r="E129" s="8"/>
      <c r="F129" s="11">
        <v>90</v>
      </c>
      <c r="G129" s="38">
        <f t="shared" si="2"/>
        <v>0</v>
      </c>
    </row>
    <row r="130" spans="2:7" x14ac:dyDescent="0.25">
      <c r="B130" s="39" t="s">
        <v>154</v>
      </c>
      <c r="C130" s="28" t="s">
        <v>74</v>
      </c>
      <c r="D130" s="8" t="s">
        <v>107</v>
      </c>
      <c r="E130" s="8"/>
      <c r="F130" s="11">
        <v>41</v>
      </c>
      <c r="G130" s="38">
        <f t="shared" si="2"/>
        <v>0</v>
      </c>
    </row>
    <row r="131" spans="2:7" x14ac:dyDescent="0.25">
      <c r="B131" s="39" t="s">
        <v>154</v>
      </c>
      <c r="C131" s="28" t="s">
        <v>75</v>
      </c>
      <c r="D131" s="8" t="s">
        <v>107</v>
      </c>
      <c r="E131" s="8"/>
      <c r="F131" s="11">
        <v>26.5</v>
      </c>
      <c r="G131" s="38">
        <f t="shared" si="2"/>
        <v>0</v>
      </c>
    </row>
    <row r="132" spans="2:7" x14ac:dyDescent="0.25">
      <c r="B132" s="37" t="s">
        <v>151</v>
      </c>
      <c r="C132" s="29" t="s">
        <v>97</v>
      </c>
      <c r="D132" s="8" t="s">
        <v>107</v>
      </c>
      <c r="E132" s="8"/>
      <c r="F132" s="9">
        <v>230</v>
      </c>
      <c r="G132" s="38">
        <f t="shared" si="2"/>
        <v>0</v>
      </c>
    </row>
    <row r="133" spans="2:7" x14ac:dyDescent="0.25">
      <c r="B133" s="39" t="s">
        <v>154</v>
      </c>
      <c r="C133" s="28" t="s">
        <v>76</v>
      </c>
      <c r="D133" s="8" t="s">
        <v>107</v>
      </c>
      <c r="E133" s="8"/>
      <c r="F133" s="11">
        <v>34</v>
      </c>
      <c r="G133" s="38">
        <f t="shared" si="2"/>
        <v>0</v>
      </c>
    </row>
    <row r="134" spans="2:7" x14ac:dyDescent="0.25">
      <c r="B134" s="40" t="s">
        <v>152</v>
      </c>
      <c r="C134" s="28" t="s">
        <v>77</v>
      </c>
      <c r="D134" s="8" t="s">
        <v>107</v>
      </c>
      <c r="E134" s="8"/>
      <c r="F134" s="11">
        <v>80</v>
      </c>
      <c r="G134" s="38">
        <f t="shared" si="2"/>
        <v>0</v>
      </c>
    </row>
    <row r="135" spans="2:7" ht="16.5" thickBot="1" x14ac:dyDescent="0.3">
      <c r="B135" s="46" t="s">
        <v>154</v>
      </c>
      <c r="C135" s="47" t="s">
        <v>78</v>
      </c>
      <c r="D135" s="48" t="s">
        <v>107</v>
      </c>
      <c r="E135" s="48"/>
      <c r="F135" s="45">
        <v>132</v>
      </c>
      <c r="G135" s="49">
        <f t="shared" si="2"/>
        <v>0</v>
      </c>
    </row>
    <row r="136" spans="2:7" ht="9" customHeight="1" x14ac:dyDescent="0.25">
      <c r="B136" s="50"/>
      <c r="C136" s="51"/>
      <c r="D136" s="52"/>
      <c r="E136" s="52"/>
      <c r="F136" s="53"/>
      <c r="G136" s="54"/>
    </row>
    <row r="137" spans="2:7" ht="16.5" thickBot="1" x14ac:dyDescent="0.3">
      <c r="B137" s="43"/>
      <c r="C137" s="30">
        <f>F2</f>
        <v>0</v>
      </c>
      <c r="D137" s="23"/>
      <c r="E137" s="23"/>
      <c r="F137" s="24"/>
      <c r="G137" s="44"/>
    </row>
    <row r="138" spans="2:7" ht="16.5" thickBot="1" x14ac:dyDescent="0.3">
      <c r="B138" s="55"/>
      <c r="C138" s="62"/>
      <c r="D138" s="56"/>
      <c r="E138" s="56"/>
      <c r="F138" s="57" t="s">
        <v>157</v>
      </c>
      <c r="G138" s="58">
        <f>SUM(G9:G135)</f>
        <v>0</v>
      </c>
    </row>
    <row r="142" spans="2:7" x14ac:dyDescent="0.25">
      <c r="C142" s="22" t="s">
        <v>156</v>
      </c>
      <c r="D142" s="22"/>
      <c r="E142" s="22"/>
      <c r="F142" s="22"/>
      <c r="G142" s="22"/>
    </row>
  </sheetData>
  <protectedRanges>
    <protectedRange sqref="C143:C224" name="GERENTE"/>
    <protectedRange sqref="D107:E108 D9:E103" name="GERENTE_2_1"/>
    <protectedRange sqref="C9:C32 C35:C105" name="GERENTE_1_1_1"/>
    <protectedRange sqref="F9:G30 F31:F32 F82:F103 G82:G135 G31:G67 F35:F67 F68:G81" name="GERENTE_2_1_2"/>
    <protectedRange sqref="C33:C34" name="GERENTE_1_1_1_1"/>
    <protectedRange sqref="F33:F34" name="GERENTE_2_1_2_1"/>
  </protectedRanges>
  <autoFilter ref="B8:I135" xr:uid="{282B975C-899C-494F-8F0C-66C8DA8B6163}"/>
  <sortState xmlns:xlrd2="http://schemas.microsoft.com/office/spreadsheetml/2017/richdata2" ref="B10:D135">
    <sortCondition ref="C9:C135"/>
  </sortState>
  <mergeCells count="4">
    <mergeCell ref="F4:G4"/>
    <mergeCell ref="F5:G5"/>
    <mergeCell ref="F2:G2"/>
    <mergeCell ref="F3:G3"/>
  </mergeCells>
  <pageMargins left="0.7" right="0.7" top="0.75" bottom="0.75" header="0.3" footer="0.3"/>
  <pageSetup paperSize="9" scale="35" orientation="portrait" horizontalDpi="0" verticalDpi="0" r:id="rId1"/>
  <ignoredErrors>
    <ignoredError sqref="C13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2021-07-08T18:02:51Z</cp:lastPrinted>
  <dcterms:created xsi:type="dcterms:W3CDTF">2020-10-23T21:29:32Z</dcterms:created>
  <dcterms:modified xsi:type="dcterms:W3CDTF">2021-11-05T02:15:14Z</dcterms:modified>
</cp:coreProperties>
</file>